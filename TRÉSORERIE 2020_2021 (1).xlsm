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bookpro/Desktop/IMSG/Excel/BDE /"/>
    </mc:Choice>
  </mc:AlternateContent>
  <xr:revisionPtr revIDLastSave="0" documentId="8_{8C70C6DA-52D6-4AF2-9E9C-00C5CBADD183}" xr6:coauthVersionLast="47" xr6:coauthVersionMax="47" xr10:uidLastSave="{00000000-0000-0000-0000-000000000000}"/>
  <bookViews>
    <workbookView xWindow="0" yWindow="460" windowWidth="24680" windowHeight="14960" xr2:uid="{5C180CE0-D2A6-4530-8B71-F60EE70C8215}"/>
  </bookViews>
  <sheets>
    <sheet name="Ecritures" sheetId="7" r:id="rId1"/>
    <sheet name="Bilan-Cpt de Résultats 2020_21" sheetId="10" r:id="rId2"/>
    <sheet name="Réf liste déroulante" sheetId="8" state="hidden" r:id="rId3"/>
    <sheet name="Budgetisation 20_21" sheetId="12" r:id="rId4"/>
    <sheet name="Suivi adhésion 20_21" sheetId="2" r:id="rId5"/>
    <sheet name="Nouveaux entrants" sheetId="9" r:id="rId6"/>
    <sheet name="Source" sheetId="3" state="hidden" r:id="rId7"/>
  </sheets>
  <definedNames>
    <definedName name="_xlnm._FilterDatabase" localSheetId="4" hidden="1">'Suivi adhésion 20_21'!$A$2:$I$63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4" i="10" l="1"/>
  <c r="B28" i="10"/>
  <c r="C1" i="7"/>
  <c r="B38" i="10"/>
  <c r="B27" i="10"/>
  <c r="B26" i="10"/>
  <c r="B29" i="10"/>
  <c r="D29" i="10" s="1"/>
  <c r="B39" i="10"/>
  <c r="K3" i="7"/>
  <c r="K2" i="7"/>
  <c r="B36" i="10"/>
  <c r="B5" i="10" l="1"/>
  <c r="D5" i="10" s="1"/>
  <c r="D27" i="10"/>
  <c r="C8" i="10"/>
  <c r="B7" i="10"/>
  <c r="B4" i="10"/>
  <c r="D39" i="10"/>
  <c r="D28" i="10"/>
  <c r="D38" i="10"/>
  <c r="B37" i="10"/>
  <c r="B35" i="10"/>
  <c r="D35" i="10" s="1"/>
  <c r="B25" i="10"/>
  <c r="B6" i="10" s="1"/>
  <c r="B15" i="10"/>
  <c r="D46" i="10"/>
  <c r="D45" i="10"/>
  <c r="D44" i="10"/>
  <c r="D43" i="10"/>
  <c r="D42" i="10"/>
  <c r="D41" i="10"/>
  <c r="D40" i="10"/>
  <c r="D36" i="10"/>
  <c r="D30" i="10"/>
  <c r="D16" i="10"/>
  <c r="D14" i="10"/>
  <c r="D12" i="10"/>
  <c r="D7" i="10"/>
  <c r="D4" i="10"/>
  <c r="C47" i="10"/>
  <c r="C31" i="10"/>
  <c r="C17" i="10"/>
  <c r="H10" i="2"/>
  <c r="H11" i="2"/>
  <c r="H15" i="2"/>
  <c r="H16" i="2"/>
  <c r="H18" i="2"/>
  <c r="H19" i="2"/>
  <c r="H20" i="2"/>
  <c r="H22" i="2"/>
  <c r="H23" i="2"/>
  <c r="H26" i="2"/>
  <c r="H27" i="2"/>
  <c r="H28" i="2"/>
  <c r="H29" i="2"/>
  <c r="H31" i="2"/>
  <c r="H32" i="2"/>
  <c r="H37" i="2"/>
  <c r="H38" i="2"/>
  <c r="H39" i="2"/>
  <c r="H40" i="2"/>
  <c r="H41" i="2"/>
  <c r="H42" i="2"/>
  <c r="H43" i="2"/>
  <c r="H44" i="2"/>
  <c r="H45" i="2"/>
  <c r="H46" i="2"/>
  <c r="H47" i="2"/>
  <c r="H48" i="2"/>
  <c r="H50" i="2"/>
  <c r="H52" i="2"/>
  <c r="H54" i="2"/>
  <c r="H55" i="2"/>
  <c r="H56" i="2"/>
  <c r="H57" i="2"/>
  <c r="H58" i="2"/>
  <c r="H59" i="2"/>
  <c r="H63" i="2"/>
  <c r="H4" i="2"/>
  <c r="G4" i="2"/>
  <c r="G5" i="2"/>
  <c r="H5" i="2" s="1"/>
  <c r="G6" i="2"/>
  <c r="G7" i="2"/>
  <c r="H7" i="2" s="1"/>
  <c r="G8" i="2"/>
  <c r="H8" i="2" s="1"/>
  <c r="G9" i="2"/>
  <c r="H9" i="2" s="1"/>
  <c r="G10" i="2"/>
  <c r="G11" i="2"/>
  <c r="G12" i="2"/>
  <c r="H12" i="2" s="1"/>
  <c r="G13" i="2"/>
  <c r="H13" i="2" s="1"/>
  <c r="G14" i="2"/>
  <c r="H14" i="2" s="1"/>
  <c r="G15" i="2"/>
  <c r="G16" i="2"/>
  <c r="G17" i="2"/>
  <c r="H17" i="2" s="1"/>
  <c r="G18" i="2"/>
  <c r="G19" i="2"/>
  <c r="G20" i="2"/>
  <c r="G21" i="2"/>
  <c r="H21" i="2" s="1"/>
  <c r="G22" i="2"/>
  <c r="G23" i="2"/>
  <c r="G24" i="2"/>
  <c r="H24" i="2" s="1"/>
  <c r="G25" i="2"/>
  <c r="H25" i="2" s="1"/>
  <c r="G26" i="2"/>
  <c r="G27" i="2"/>
  <c r="G28" i="2"/>
  <c r="G29" i="2"/>
  <c r="G30" i="2"/>
  <c r="H30" i="2" s="1"/>
  <c r="G31" i="2"/>
  <c r="G32" i="2"/>
  <c r="G33" i="2"/>
  <c r="H33" i="2" s="1"/>
  <c r="G34" i="2"/>
  <c r="H34" i="2" s="1"/>
  <c r="G35" i="2"/>
  <c r="H35" i="2" s="1"/>
  <c r="G36" i="2"/>
  <c r="H36" i="2" s="1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H49" i="2" s="1"/>
  <c r="G50" i="2"/>
  <c r="G51" i="2"/>
  <c r="H51" i="2" s="1"/>
  <c r="G52" i="2"/>
  <c r="G53" i="2"/>
  <c r="H53" i="2" s="1"/>
  <c r="G54" i="2"/>
  <c r="G55" i="2"/>
  <c r="G56" i="2"/>
  <c r="G57" i="2"/>
  <c r="G58" i="2"/>
  <c r="G59" i="2"/>
  <c r="G60" i="2"/>
  <c r="H60" i="2" s="1"/>
  <c r="G61" i="2"/>
  <c r="H61" i="2" s="1"/>
  <c r="G62" i="2"/>
  <c r="H62" i="2" s="1"/>
  <c r="G63" i="2"/>
  <c r="G3" i="2"/>
  <c r="D5" i="7"/>
  <c r="E5" i="8" l="1"/>
  <c r="E11" i="8"/>
  <c r="E12" i="8"/>
  <c r="E10" i="8"/>
  <c r="E9" i="8"/>
  <c r="G64" i="2"/>
  <c r="E7" i="8"/>
  <c r="E8" i="8"/>
  <c r="B13" i="10"/>
  <c r="D37" i="10"/>
  <c r="D26" i="10"/>
  <c r="B11" i="10"/>
  <c r="D11" i="10" s="1"/>
  <c r="D15" i="10"/>
  <c r="D6" i="10"/>
  <c r="D8" i="10" s="1"/>
  <c r="B8" i="10"/>
  <c r="C51" i="10"/>
  <c r="B31" i="10"/>
  <c r="D25" i="10"/>
  <c r="B49" i="10"/>
  <c r="B47" i="10"/>
  <c r="D34" i="10"/>
  <c r="C49" i="10"/>
  <c r="D47" i="10" l="1"/>
  <c r="D31" i="10"/>
  <c r="D13" i="10"/>
  <c r="D17" i="10" s="1"/>
  <c r="D51" i="10" s="1"/>
  <c r="B17" i="10"/>
  <c r="B51" i="10" s="1"/>
  <c r="D49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H5" authorId="0" shapeId="0" xr:uid="{24AF648B-EAC4-CA41-AB92-CB33DBFFFEAD}">
      <text>
        <r>
          <rPr>
            <b/>
            <sz val="10"/>
            <color rgb="FF000000"/>
            <rFont val="Tahoma"/>
            <family val="2"/>
          </rPr>
          <t>Ne rien insérer si libellé = "Cotisation(s)"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<sst xmlns="http://schemas.openxmlformats.org/spreadsheetml/2006/main" count="349" uniqueCount="126">
  <si>
    <t>Trésorerie actualisé</t>
  </si>
  <si>
    <t>👨🏻‍💻Tout est automatique il suffit de bien remplir cette feuille et celle du suivi d'adhésion.🤖</t>
  </si>
  <si>
    <t>Total Trésorerie selon le mois</t>
  </si>
  <si>
    <t>Fichier en lecture seule. Seul le trésorier détient le code</t>
  </si>
  <si>
    <t>Ecritures 2020/21</t>
  </si>
  <si>
    <t>Mars</t>
  </si>
  <si>
    <t>Choisir  les données avant de valider une écriture:</t>
  </si>
  <si>
    <t>Espèces Restant</t>
  </si>
  <si>
    <t>Catégorie</t>
  </si>
  <si>
    <t>Transaction</t>
  </si>
  <si>
    <t>Type de transaction</t>
  </si>
  <si>
    <t>Libellé</t>
  </si>
  <si>
    <t>Quantité</t>
  </si>
  <si>
    <t>Notes</t>
  </si>
  <si>
    <t>Produits d'exploitations</t>
  </si>
  <si>
    <t>CB</t>
  </si>
  <si>
    <t>Vente(s) de marchandise(s)</t>
  </si>
  <si>
    <t>INSERER LE MONTANT =&gt;</t>
  </si>
  <si>
    <t>CLIQUER ICI =&gt;</t>
  </si>
  <si>
    <t>Historiques des écritures</t>
  </si>
  <si>
    <t>Mois</t>
  </si>
  <si>
    <t>Date</t>
  </si>
  <si>
    <t>Entrée</t>
  </si>
  <si>
    <t>Sortie</t>
  </si>
  <si>
    <t>mars</t>
  </si>
  <si>
    <t>Encaissement</t>
  </si>
  <si>
    <t>Lingots d'or</t>
  </si>
  <si>
    <t>Läderach</t>
  </si>
  <si>
    <t>Charges d'exploitations</t>
  </si>
  <si>
    <t>Décaissement</t>
  </si>
  <si>
    <t xml:space="preserve">Achat(s) de marchandise(s) </t>
  </si>
  <si>
    <t>Provisions buvette</t>
  </si>
  <si>
    <t>Espèces</t>
  </si>
  <si>
    <t>buvette</t>
  </si>
  <si>
    <t>Virement</t>
  </si>
  <si>
    <t>Autre(s)</t>
  </si>
  <si>
    <t>trousse stylo papier</t>
  </si>
  <si>
    <t>Matériel(s) de bureau</t>
  </si>
  <si>
    <t>Assurance</t>
  </si>
  <si>
    <t>Pull</t>
  </si>
  <si>
    <t>Change</t>
  </si>
  <si>
    <t>Achat(s) de marchandise(s)</t>
  </si>
  <si>
    <t>BILAN</t>
  </si>
  <si>
    <t>Solde CHF</t>
  </si>
  <si>
    <t>Budget CHF</t>
  </si>
  <si>
    <t>Diff Budget</t>
  </si>
  <si>
    <t>ACTIFS</t>
  </si>
  <si>
    <t>Mobilier de bureau</t>
  </si>
  <si>
    <t>Compte courant bancaire</t>
  </si>
  <si>
    <t>Caisse</t>
  </si>
  <si>
    <t>Charges constatées d'avance</t>
  </si>
  <si>
    <t>TOTAL ACTIFS</t>
  </si>
  <si>
    <t>PASSIFS</t>
  </si>
  <si>
    <t>Fonds associatif sans droit de reprise</t>
  </si>
  <si>
    <t>Report à nouveau </t>
  </si>
  <si>
    <t>Résultat net d'exercice (Excédents ou perte)</t>
  </si>
  <si>
    <t>Emprunts auprès des établissements de crédit</t>
  </si>
  <si>
    <t>Fournisseurs</t>
  </si>
  <si>
    <t>Produits constatés d'avance</t>
  </si>
  <si>
    <t>TOTAL PASSIFS</t>
  </si>
  <si>
    <t>COMPTE DE RESULTAT</t>
  </si>
  <si>
    <t>PRODUITS</t>
  </si>
  <si>
    <t>Ventes de marchandises</t>
  </si>
  <si>
    <t>Cotisations</t>
  </si>
  <si>
    <t>Divers</t>
  </si>
  <si>
    <t>Dons</t>
  </si>
  <si>
    <t>Produits d'autres immobilisations financières</t>
  </si>
  <si>
    <t>TOTAL PRODUITS</t>
  </si>
  <si>
    <t>CHARGES</t>
  </si>
  <si>
    <t>Achats de marchandises</t>
  </si>
  <si>
    <t>Impression</t>
  </si>
  <si>
    <t>Matériel de bureau</t>
  </si>
  <si>
    <t>Publicité, publications, relations publiques</t>
  </si>
  <si>
    <t>Transports de biens et transports collectifs du personnel</t>
  </si>
  <si>
    <t>Frais postaux et frais de télécommunications</t>
  </si>
  <si>
    <t>Services bancaires et assimilés</t>
  </si>
  <si>
    <t>Impôts </t>
  </si>
  <si>
    <t>Intérêts des emprunts et dettes</t>
  </si>
  <si>
    <t>Amortissements</t>
  </si>
  <si>
    <t>TOTAL CHARGES</t>
  </si>
  <si>
    <t>Perte(+) Bénéfice(-)  du Compte de Résultat</t>
  </si>
  <si>
    <t>Différence doit être = 0 (cellule vide)</t>
  </si>
  <si>
    <t>CENTRES DE COÛT ET DE PROFIT</t>
  </si>
  <si>
    <t>CC ...</t>
  </si>
  <si>
    <t>TOTAL CENTRES DE COÛT</t>
  </si>
  <si>
    <t>Catégories</t>
  </si>
  <si>
    <t>Transactions</t>
  </si>
  <si>
    <t>Trésorerie</t>
  </si>
  <si>
    <t>Janvier</t>
  </si>
  <si>
    <t>Don(s)</t>
  </si>
  <si>
    <t>Février</t>
  </si>
  <si>
    <t>Produits exceptionnels</t>
  </si>
  <si>
    <t>Charges exceptionels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</si>
  <si>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</si>
  <si>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</si>
  <si>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</si>
  <si>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</si>
  <si>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</si>
  <si>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</si>
  <si>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</si>
  <si>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</si>
  <si>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</si>
  <si>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 xml:space="preserve">Liste </t>
  </si>
  <si>
    <t>Budget</t>
  </si>
  <si>
    <t>Année 2020/2021</t>
  </si>
  <si>
    <t>Nb</t>
  </si>
  <si>
    <t>Nom</t>
  </si>
  <si>
    <t>Prénom</t>
  </si>
  <si>
    <t>Mail</t>
  </si>
  <si>
    <t>Type d'adhésion</t>
  </si>
  <si>
    <t>Montant adhésion</t>
  </si>
  <si>
    <t>Payé?</t>
  </si>
  <si>
    <t>Carte membre Remise?</t>
  </si>
  <si>
    <t>ADZHAMOGLIAN</t>
  </si>
  <si>
    <t>Erik</t>
  </si>
  <si>
    <t>eadzhamoglian@imsgeneva.ch</t>
  </si>
  <si>
    <t>Bachelor 1</t>
  </si>
  <si>
    <t>Non Adhérent</t>
  </si>
  <si>
    <t>Non</t>
  </si>
  <si>
    <t>Junior</t>
  </si>
  <si>
    <t>Annuel</t>
  </si>
  <si>
    <t>Oui</t>
  </si>
  <si>
    <t>Senior</t>
  </si>
  <si>
    <t>Semestriel</t>
  </si>
  <si>
    <t>TOTAL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</si>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</sst>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0.00\ &quot;€&quot;_);\(#,##0.00\ &quot;€&quot;\)"/>
    <numFmt numFmtId="165" formatCode="_ * #,##0.00_)\ &quot;€&quot;_ ;_ * \(#,##0.00\)\ &quot;€&quot;_ ;_ * &quot;-&quot;??_)\ &quot;€&quot;_ ;_ @_ "/>
    <numFmt numFmtId="166" formatCode="_-* #,##0.00\ &quot;€&quot;_-;\-* #,##0.00\ &quot;€&quot;_-;_-* &quot;-&quot;??\ &quot;€&quot;_-;_-@_-"/>
    <numFmt numFmtId="167" formatCode="_-* #,##0.00_-;\-* #,##0.00_-;_-* &quot;-&quot;??_-;_-@_-"/>
    <numFmt numFmtId="168" formatCode="_-* #,##0_-;\-* #,##0_-;_-* &quot;-&quot;??_-;_-@_-"/>
    <numFmt numFmtId="169" formatCode="#,##0\ [$CHF-417]"/>
    <numFmt numFmtId="170" formatCode="#,##0.00\ [$CHF-100C]"/>
    <numFmt numFmtId="171" formatCode="_ * #,##0.00_)\ [$CHF]_ ;_ * \(#,##0.00\)\ [$CHF]_ ;_ * &quot;-&quot;??_)\ [$CHF]_ ;_ @_ "/>
    <numFmt numFmtId="172" formatCode="#,##0.00\ &quot;€&quot;"/>
    <numFmt numFmtId="173" formatCode="d/m/yy\ h:mm;@"/>
  </numFmts>
  <fonts count="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0"/>
      <name val="Calibri (Corps)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u val="singleAccounting"/>
      <sz val="28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26"/>
      <color theme="8"/>
      <name val="Calibri"/>
      <family val="2"/>
      <scheme val="minor"/>
    </font>
    <font>
      <i/>
      <sz val="12"/>
      <name val="Calibri"/>
      <family val="2"/>
      <scheme val="minor"/>
    </font>
    <font>
      <b/>
      <u val="singleAccounting"/>
      <sz val="18"/>
      <color theme="4"/>
      <name val="Calibri"/>
      <family val="2"/>
      <scheme val="minor"/>
    </font>
    <font>
      <b/>
      <sz val="18"/>
      <color theme="1"/>
      <name val="Helvetica"/>
      <family val="2"/>
    </font>
    <font>
      <sz val="13"/>
      <color theme="1"/>
      <name val="Helvetica"/>
      <family val="2"/>
    </font>
    <font>
      <b/>
      <sz val="13"/>
      <color theme="1"/>
      <name val="Helvetica"/>
      <family val="2"/>
    </font>
    <font>
      <b/>
      <sz val="16"/>
      <color theme="9" tint="0.59999389629810485"/>
      <name val="Helvetica"/>
      <family val="2"/>
    </font>
    <font>
      <sz val="11"/>
      <color theme="9" tint="0.59999389629810485"/>
      <name val="Calibri"/>
      <family val="2"/>
      <scheme val="minor"/>
    </font>
    <font>
      <b/>
      <sz val="16"/>
      <color theme="4"/>
      <name val="Helvetica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Helvetica"/>
      <family val="2"/>
    </font>
    <font>
      <sz val="16"/>
      <color theme="1"/>
      <name val="Calibri"/>
      <family val="2"/>
      <scheme val="minor"/>
    </font>
    <font>
      <sz val="16"/>
      <color rgb="FF00B05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22"/>
      <color rgb="FFFF0000"/>
      <name val="Calibri"/>
      <family val="2"/>
      <scheme val="minor"/>
    </font>
    <font>
      <i/>
      <sz val="16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/>
      <right style="medium">
        <color theme="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0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4"/>
      </left>
      <right/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</borders>
  <cellStyleXfs count="3">
    <xf numFmtId="0" fontId="0" fillId="0" borderId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168" fontId="0" fillId="0" borderId="0" xfId="1" applyNumberFormat="1" applyFont="1" applyAlignment="1">
      <alignment horizontal="center"/>
    </xf>
    <xf numFmtId="0" fontId="0" fillId="2" borderId="0" xfId="0" applyFill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168" fontId="0" fillId="0" borderId="4" xfId="1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68" fontId="0" fillId="0" borderId="6" xfId="1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8" fontId="0" fillId="0" borderId="8" xfId="1" applyNumberFormat="1" applyFont="1" applyBorder="1" applyAlignment="1">
      <alignment horizontal="center"/>
    </xf>
    <xf numFmtId="169" fontId="0" fillId="0" borderId="4" xfId="1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8" fontId="3" fillId="0" borderId="2" xfId="1" applyNumberFormat="1" applyFont="1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169" fontId="0" fillId="0" borderId="0" xfId="0" applyNumberFormat="1" applyAlignment="1">
      <alignment horizontal="center"/>
    </xf>
    <xf numFmtId="0" fontId="6" fillId="5" borderId="0" xfId="0" applyFont="1" applyFill="1" applyAlignment="1">
      <alignment horizontal="center"/>
    </xf>
    <xf numFmtId="0" fontId="0" fillId="0" borderId="0" xfId="0" applyFont="1" applyFill="1"/>
    <xf numFmtId="0" fontId="12" fillId="0" borderId="0" xfId="0" applyFont="1" applyFill="1"/>
    <xf numFmtId="0" fontId="6" fillId="5" borderId="0" xfId="0" applyFont="1" applyFill="1" applyAlignment="1" applyProtection="1">
      <alignment horizontal="center"/>
      <protection locked="0"/>
    </xf>
    <xf numFmtId="0" fontId="10" fillId="5" borderId="13" xfId="0" applyFont="1" applyFill="1" applyBorder="1" applyAlignment="1">
      <alignment vertical="center"/>
    </xf>
    <xf numFmtId="0" fontId="4" fillId="5" borderId="13" xfId="0" applyFont="1" applyFill="1" applyBorder="1" applyAlignment="1">
      <alignment vertical="center"/>
    </xf>
    <xf numFmtId="171" fontId="8" fillId="2" borderId="13" xfId="0" applyNumberFormat="1" applyFont="1" applyFill="1" applyBorder="1" applyAlignment="1" applyProtection="1">
      <alignment vertical="center"/>
      <protection locked="0"/>
    </xf>
    <xf numFmtId="165" fontId="2" fillId="5" borderId="0" xfId="0" applyNumberFormat="1" applyFont="1" applyFill="1" applyAlignment="1" applyProtection="1">
      <alignment horizontal="center" vertical="center"/>
      <protection locked="0"/>
    </xf>
    <xf numFmtId="0" fontId="6" fillId="0" borderId="0" xfId="0" applyFont="1" applyFill="1" applyAlignment="1" applyProtection="1">
      <alignment horizontal="center"/>
      <protection locked="0"/>
    </xf>
    <xf numFmtId="0" fontId="0" fillId="0" borderId="0" xfId="0" applyFill="1"/>
    <xf numFmtId="173" fontId="0" fillId="0" borderId="0" xfId="0" applyNumberFormat="1"/>
    <xf numFmtId="164" fontId="0" fillId="0" borderId="0" xfId="0" applyNumberFormat="1"/>
    <xf numFmtId="0" fontId="9" fillId="6" borderId="0" xfId="0" applyFont="1" applyFill="1" applyAlignment="1">
      <alignment horizontal="center" vertical="center"/>
    </xf>
    <xf numFmtId="0" fontId="14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6" fillId="5" borderId="12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locked="0"/>
    </xf>
    <xf numFmtId="165" fontId="16" fillId="0" borderId="0" xfId="0" applyNumberFormat="1" applyFont="1" applyAlignment="1">
      <alignment vertical="center"/>
    </xf>
    <xf numFmtId="0" fontId="0" fillId="0" borderId="20" xfId="0" applyBorder="1" applyAlignment="1">
      <alignment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0" fontId="3" fillId="0" borderId="0" xfId="0" applyFont="1" applyAlignment="1">
      <alignment vertical="center"/>
    </xf>
    <xf numFmtId="0" fontId="11" fillId="0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71" fontId="16" fillId="0" borderId="0" xfId="0" applyNumberFormat="1" applyFont="1" applyFill="1" applyAlignment="1" applyProtection="1">
      <alignment vertical="center"/>
      <protection locked="0"/>
    </xf>
    <xf numFmtId="171" fontId="20" fillId="0" borderId="0" xfId="0" applyNumberFormat="1" applyFont="1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22" fillId="0" borderId="0" xfId="0" applyFont="1" applyFill="1" applyAlignment="1" applyProtection="1">
      <alignment horizontal="left" vertical="center"/>
      <protection locked="0"/>
    </xf>
    <xf numFmtId="165" fontId="16" fillId="0" borderId="0" xfId="0" applyNumberFormat="1" applyFont="1" applyFill="1" applyAlignment="1" applyProtection="1">
      <alignment vertical="center"/>
      <protection locked="0"/>
    </xf>
    <xf numFmtId="0" fontId="12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7" fillId="0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vertical="center"/>
    </xf>
    <xf numFmtId="0" fontId="11" fillId="0" borderId="0" xfId="0" applyFont="1" applyFill="1" applyAlignment="1">
      <alignment horizontal="center" vertical="center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5" borderId="0" xfId="0" applyFont="1" applyFill="1"/>
    <xf numFmtId="0" fontId="29" fillId="6" borderId="0" xfId="0" applyFont="1" applyFill="1"/>
    <xf numFmtId="0" fontId="24" fillId="2" borderId="0" xfId="0" applyFont="1" applyFill="1"/>
    <xf numFmtId="0" fontId="25" fillId="7" borderId="23" xfId="0" applyFont="1" applyFill="1" applyBorder="1"/>
    <xf numFmtId="171" fontId="28" fillId="5" borderId="0" xfId="0" applyNumberFormat="1" applyFont="1" applyFill="1"/>
    <xf numFmtId="171" fontId="32" fillId="7" borderId="23" xfId="0" applyNumberFormat="1" applyFont="1" applyFill="1" applyBorder="1"/>
    <xf numFmtId="171" fontId="33" fillId="7" borderId="23" xfId="0" applyNumberFormat="1" applyFont="1" applyFill="1" applyBorder="1"/>
    <xf numFmtId="171" fontId="29" fillId="6" borderId="0" xfId="0" applyNumberFormat="1" applyFont="1" applyFill="1"/>
    <xf numFmtId="171" fontId="0" fillId="0" borderId="0" xfId="0" applyNumberFormat="1"/>
    <xf numFmtId="171" fontId="26" fillId="0" borderId="0" xfId="0" applyNumberFormat="1" applyFont="1"/>
    <xf numFmtId="171" fontId="25" fillId="0" borderId="0" xfId="0" applyNumberFormat="1" applyFont="1"/>
    <xf numFmtId="171" fontId="31" fillId="8" borderId="0" xfId="0" applyNumberFormat="1" applyFont="1" applyFill="1" applyAlignment="1">
      <alignment horizontal="center" vertical="center"/>
    </xf>
    <xf numFmtId="171" fontId="30" fillId="8" borderId="0" xfId="0" applyNumberFormat="1" applyFont="1" applyFill="1" applyAlignment="1">
      <alignment horizontal="center" vertical="center"/>
    </xf>
    <xf numFmtId="171" fontId="33" fillId="7" borderId="23" xfId="0" applyNumberFormat="1" applyFont="1" applyFill="1" applyBorder="1" applyAlignment="1">
      <alignment horizontal="center"/>
    </xf>
    <xf numFmtId="171" fontId="20" fillId="0" borderId="0" xfId="0" applyNumberFormat="1" applyFont="1" applyAlignment="1">
      <alignment vertical="center"/>
    </xf>
    <xf numFmtId="171" fontId="9" fillId="6" borderId="0" xfId="0" applyNumberFormat="1" applyFont="1" applyFill="1" applyAlignment="1">
      <alignment horizontal="center" vertical="center"/>
    </xf>
    <xf numFmtId="171" fontId="6" fillId="5" borderId="0" xfId="0" applyNumberFormat="1" applyFont="1" applyFill="1" applyAlignment="1" applyProtection="1">
      <alignment horizontal="center" vertical="center"/>
      <protection locked="0"/>
    </xf>
    <xf numFmtId="171" fontId="20" fillId="0" borderId="0" xfId="0" applyNumberFormat="1" applyFont="1" applyFill="1" applyAlignment="1">
      <alignment vertical="center"/>
    </xf>
    <xf numFmtId="171" fontId="7" fillId="0" borderId="0" xfId="0" applyNumberFormat="1" applyFont="1" applyFill="1" applyAlignment="1" applyProtection="1">
      <alignment horizontal="center"/>
      <protection locked="0"/>
    </xf>
    <xf numFmtId="0" fontId="24" fillId="2" borderId="0" xfId="0" applyFont="1" applyFill="1" applyAlignment="1">
      <alignment horizontal="center" vertical="center"/>
    </xf>
    <xf numFmtId="14" fontId="6" fillId="5" borderId="0" xfId="0" applyNumberFormat="1" applyFont="1" applyFill="1" applyAlignment="1" applyProtection="1">
      <alignment horizontal="center" vertical="center"/>
      <protection locked="0"/>
    </xf>
    <xf numFmtId="14" fontId="11" fillId="0" borderId="0" xfId="0" applyNumberFormat="1" applyFont="1" applyFill="1" applyAlignment="1" applyProtection="1">
      <alignment horizontal="center" vertical="center"/>
      <protection locked="0"/>
    </xf>
    <xf numFmtId="14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37" fillId="0" borderId="0" xfId="0" applyFont="1"/>
    <xf numFmtId="170" fontId="0" fillId="0" borderId="22" xfId="2" applyNumberFormat="1" applyFont="1" applyFill="1" applyBorder="1" applyAlignment="1">
      <alignment vertical="center"/>
    </xf>
    <xf numFmtId="170" fontId="0" fillId="0" borderId="0" xfId="2" applyNumberFormat="1" applyFont="1" applyFill="1" applyBorder="1" applyAlignment="1">
      <alignment vertical="center"/>
    </xf>
    <xf numFmtId="0" fontId="9" fillId="6" borderId="19" xfId="0" applyFont="1" applyFill="1" applyBorder="1" applyAlignment="1">
      <alignment horizontal="center" vertical="center"/>
    </xf>
    <xf numFmtId="165" fontId="0" fillId="0" borderId="26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165" fontId="34" fillId="9" borderId="25" xfId="0" applyNumberFormat="1" applyFont="1" applyFill="1" applyBorder="1" applyAlignment="1">
      <alignment horizontal="center" vertical="center" wrapText="1"/>
    </xf>
    <xf numFmtId="165" fontId="34" fillId="9" borderId="27" xfId="0" applyNumberFormat="1" applyFont="1" applyFill="1" applyBorder="1" applyAlignment="1">
      <alignment horizontal="center" vertical="center" wrapText="1"/>
    </xf>
    <xf numFmtId="0" fontId="38" fillId="5" borderId="0" xfId="0" applyFont="1" applyFill="1" applyBorder="1" applyAlignment="1">
      <alignment horizontal="center" vertical="center" wrapText="1"/>
    </xf>
    <xf numFmtId="0" fontId="15" fillId="5" borderId="0" xfId="0" applyFont="1" applyFill="1" applyBorder="1" applyAlignment="1">
      <alignment horizontal="center" vertical="center" wrapText="1"/>
    </xf>
    <xf numFmtId="0" fontId="15" fillId="5" borderId="15" xfId="0" applyFont="1" applyFill="1" applyBorder="1" applyAlignment="1">
      <alignment horizontal="center" vertical="center" wrapText="1"/>
    </xf>
    <xf numFmtId="0" fontId="21" fillId="3" borderId="0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/>
    </xf>
    <xf numFmtId="0" fontId="15" fillId="5" borderId="17" xfId="0" applyFont="1" applyFill="1" applyBorder="1" applyAlignment="1">
      <alignment horizontal="center" vertical="center" wrapText="1"/>
    </xf>
    <xf numFmtId="0" fontId="15" fillId="5" borderId="18" xfId="0" applyFont="1" applyFill="1" applyBorder="1" applyAlignment="1">
      <alignment horizontal="center" vertical="center" wrapText="1"/>
    </xf>
    <xf numFmtId="172" fontId="18" fillId="0" borderId="0" xfId="0" applyNumberFormat="1" applyFont="1" applyAlignment="1">
      <alignment horizontal="center" vertical="center"/>
    </xf>
    <xf numFmtId="165" fontId="17" fillId="0" borderId="24" xfId="0" applyNumberFormat="1" applyFont="1" applyBorder="1" applyAlignment="1">
      <alignment horizontal="center" vertical="center"/>
    </xf>
    <xf numFmtId="165" fontId="17" fillId="0" borderId="0" xfId="0" applyNumberFormat="1" applyFont="1" applyBorder="1" applyAlignment="1">
      <alignment horizontal="center" vertical="center"/>
    </xf>
    <xf numFmtId="165" fontId="23" fillId="0" borderId="25" xfId="0" applyNumberFormat="1" applyFont="1" applyBorder="1" applyAlignment="1">
      <alignment horizontal="center" vertical="center"/>
    </xf>
    <xf numFmtId="165" fontId="23" fillId="0" borderId="26" xfId="0" applyNumberFormat="1" applyFont="1" applyBorder="1" applyAlignment="1">
      <alignment horizontal="center" vertical="center"/>
    </xf>
    <xf numFmtId="165" fontId="19" fillId="0" borderId="9" xfId="0" applyNumberFormat="1" applyFont="1" applyBorder="1" applyAlignment="1">
      <alignment horizontal="center" wrapText="1"/>
    </xf>
    <xf numFmtId="165" fontId="19" fillId="0" borderId="16" xfId="0" applyNumberFormat="1" applyFont="1" applyBorder="1" applyAlignment="1">
      <alignment horizontal="center" wrapText="1"/>
    </xf>
    <xf numFmtId="165" fontId="19" fillId="0" borderId="10" xfId="0" applyNumberFormat="1" applyFont="1" applyBorder="1" applyAlignment="1">
      <alignment horizontal="center" wrapText="1"/>
    </xf>
    <xf numFmtId="165" fontId="0" fillId="0" borderId="0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2" fillId="4" borderId="1" xfId="0" applyFont="1" applyFill="1" applyBorder="1" applyAlignment="1">
      <alignment horizontal="center"/>
    </xf>
  </cellXfs>
  <cellStyles count="3">
    <cellStyle name="Milliers" xfId="1" builtinId="3"/>
    <cellStyle name="Monétaire" xfId="2" builtinId="4"/>
    <cellStyle name="Normal" xfId="0" builtinId="0"/>
  </cellStyles>
  <dxfs count="56"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color rgb="FF9C0006"/>
      </font>
    </dxf>
    <dxf>
      <font>
        <b/>
        <i val="0"/>
        <color rgb="FF00B05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71" formatCode="_ * #,##0.00_)\ [$CHF]_ ;_ * \(#,##0.00\)\ [$CHF]_ ;_ * &quot;-&quot;??_)\ [$CHF]_ ;_ @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family val="2"/>
        <scheme val="minor"/>
      </font>
      <numFmt numFmtId="171" formatCode="_ * #,##0.00_)\ [$CHF]_ ;_ * \(#,##0.00\)\ [$CHF]_ ;_ * &quot;-&quot;??_)\ [$CHF]_ ;_ @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4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rgb="FF9C0006"/>
      </font>
    </dxf>
    <dxf>
      <font>
        <color rgb="FF00B050"/>
      </font>
    </dxf>
  </dxfs>
  <tableStyles count="0" defaultTableStyle="TableStyleMedium2" defaultPivotStyle="PivotStyleLight16"/>
  <colors>
    <mruColors>
      <color rgb="FFFFFD78"/>
      <color rgb="FFFFFFCC"/>
      <color rgb="FFCF36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12700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fr-FR" sz="2200" b="0" i="0" u="none" strike="noStrike" baseline="0">
                  <a:solidFill>
                    <a:srgbClr val="4472C4"/>
                  </a:solidFill>
                  <a:latin typeface="Copperplate" pitchFamily="1" charset="0"/>
                </a:rPr>
                <a:t>VALIDER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168805</xdr:colOff>
      <xdr:row>5</xdr:row>
      <xdr:rowOff>192947</xdr:rowOff>
    </xdr:from>
    <xdr:to>
      <xdr:col>1</xdr:col>
      <xdr:colOff>381001</xdr:colOff>
      <xdr:row>5</xdr:row>
      <xdr:rowOff>508000</xdr:rowOff>
    </xdr:to>
    <xdr:sp macro="" textlink="">
      <xdr:nvSpPr>
        <xdr:cNvPr id="4" name="Graphique 2" descr="Verrouiller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40305" y="2491647"/>
          <a:ext cx="212196" cy="315053"/>
        </a:xfrm>
        <a:custGeom>
          <a:avLst/>
          <a:gdLst>
            <a:gd name="connsiteX0" fmla="*/ 138906 w 259291"/>
            <a:gd name="connsiteY0" fmla="*/ 267163 h 338005"/>
            <a:gd name="connsiteX1" fmla="*/ 138906 w 259291"/>
            <a:gd name="connsiteY1" fmla="*/ 291703 h 338005"/>
            <a:gd name="connsiteX2" fmla="*/ 120385 w 259291"/>
            <a:gd name="connsiteY2" fmla="*/ 291703 h 338005"/>
            <a:gd name="connsiteX3" fmla="*/ 120385 w 259291"/>
            <a:gd name="connsiteY3" fmla="*/ 267163 h 338005"/>
            <a:gd name="connsiteX4" fmla="*/ 101865 w 259291"/>
            <a:gd name="connsiteY4" fmla="*/ 240771 h 338005"/>
            <a:gd name="connsiteX5" fmla="*/ 129646 w 259291"/>
            <a:gd name="connsiteY5" fmla="*/ 212990 h 338005"/>
            <a:gd name="connsiteX6" fmla="*/ 157427 w 259291"/>
            <a:gd name="connsiteY6" fmla="*/ 240771 h 338005"/>
            <a:gd name="connsiteX7" fmla="*/ 138906 w 259291"/>
            <a:gd name="connsiteY7" fmla="*/ 267163 h 338005"/>
            <a:gd name="connsiteX8" fmla="*/ 60193 w 259291"/>
            <a:gd name="connsiteY8" fmla="*/ 97234 h 338005"/>
            <a:gd name="connsiteX9" fmla="*/ 129646 w 259291"/>
            <a:gd name="connsiteY9" fmla="*/ 27781 h 338005"/>
            <a:gd name="connsiteX10" fmla="*/ 199099 w 259291"/>
            <a:gd name="connsiteY10" fmla="*/ 97234 h 338005"/>
            <a:gd name="connsiteX11" fmla="*/ 199099 w 259291"/>
            <a:gd name="connsiteY11" fmla="*/ 148630 h 338005"/>
            <a:gd name="connsiteX12" fmla="*/ 129646 w 259291"/>
            <a:gd name="connsiteY12" fmla="*/ 143536 h 338005"/>
            <a:gd name="connsiteX13" fmla="*/ 60193 w 259291"/>
            <a:gd name="connsiteY13" fmla="*/ 148630 h 338005"/>
            <a:gd name="connsiteX14" fmla="*/ 60193 w 259291"/>
            <a:gd name="connsiteY14" fmla="*/ 97234 h 338005"/>
            <a:gd name="connsiteX15" fmla="*/ 226880 w 259291"/>
            <a:gd name="connsiteY15" fmla="*/ 150482 h 338005"/>
            <a:gd name="connsiteX16" fmla="*/ 226880 w 259291"/>
            <a:gd name="connsiteY16" fmla="*/ 97234 h 338005"/>
            <a:gd name="connsiteX17" fmla="*/ 129646 w 259291"/>
            <a:gd name="connsiteY17" fmla="*/ 0 h 338005"/>
            <a:gd name="connsiteX18" fmla="*/ 32411 w 259291"/>
            <a:gd name="connsiteY18" fmla="*/ 97234 h 338005"/>
            <a:gd name="connsiteX19" fmla="*/ 32411 w 259291"/>
            <a:gd name="connsiteY19" fmla="*/ 150482 h 338005"/>
            <a:gd name="connsiteX20" fmla="*/ 0 w 259291"/>
            <a:gd name="connsiteY20" fmla="*/ 152797 h 338005"/>
            <a:gd name="connsiteX21" fmla="*/ 0 w 259291"/>
            <a:gd name="connsiteY21" fmla="*/ 328745 h 338005"/>
            <a:gd name="connsiteX22" fmla="*/ 129646 w 259291"/>
            <a:gd name="connsiteY22" fmla="*/ 338005 h 338005"/>
            <a:gd name="connsiteX23" fmla="*/ 259292 w 259291"/>
            <a:gd name="connsiteY23" fmla="*/ 328745 h 338005"/>
            <a:gd name="connsiteX24" fmla="*/ 259292 w 259291"/>
            <a:gd name="connsiteY24" fmla="*/ 152797 h 338005"/>
            <a:gd name="connsiteX25" fmla="*/ 226880 w 259291"/>
            <a:gd name="connsiteY25" fmla="*/ 150482 h 33800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</a:cxnLst>
          <a:rect l="l" t="t" r="r" b="b"/>
          <a:pathLst>
            <a:path w="259291" h="338005">
              <a:moveTo>
                <a:pt x="138906" y="267163"/>
              </a:moveTo>
              <a:lnTo>
                <a:pt x="138906" y="291703"/>
              </a:lnTo>
              <a:lnTo>
                <a:pt x="120385" y="291703"/>
              </a:lnTo>
              <a:lnTo>
                <a:pt x="120385" y="267163"/>
              </a:lnTo>
              <a:cubicBezTo>
                <a:pt x="109736" y="263459"/>
                <a:pt x="101865" y="253272"/>
                <a:pt x="101865" y="240771"/>
              </a:cubicBezTo>
              <a:cubicBezTo>
                <a:pt x="101865" y="225491"/>
                <a:pt x="114366" y="212990"/>
                <a:pt x="129646" y="212990"/>
              </a:cubicBezTo>
              <a:cubicBezTo>
                <a:pt x="144926" y="212990"/>
                <a:pt x="157427" y="225491"/>
                <a:pt x="157427" y="240771"/>
              </a:cubicBezTo>
              <a:cubicBezTo>
                <a:pt x="157427" y="252809"/>
                <a:pt x="149556" y="262996"/>
                <a:pt x="138906" y="267163"/>
              </a:cubicBezTo>
              <a:close/>
              <a:moveTo>
                <a:pt x="60193" y="97234"/>
              </a:moveTo>
              <a:cubicBezTo>
                <a:pt x="60193" y="58804"/>
                <a:pt x="91215" y="27781"/>
                <a:pt x="129646" y="27781"/>
              </a:cubicBezTo>
              <a:cubicBezTo>
                <a:pt x="168077" y="27781"/>
                <a:pt x="199099" y="58804"/>
                <a:pt x="199099" y="97234"/>
              </a:cubicBezTo>
              <a:lnTo>
                <a:pt x="199099" y="148630"/>
              </a:lnTo>
              <a:lnTo>
                <a:pt x="129646" y="143536"/>
              </a:lnTo>
              <a:lnTo>
                <a:pt x="60193" y="148630"/>
              </a:lnTo>
              <a:lnTo>
                <a:pt x="60193" y="97234"/>
              </a:lnTo>
              <a:close/>
              <a:moveTo>
                <a:pt x="226880" y="150482"/>
              </a:moveTo>
              <a:lnTo>
                <a:pt x="226880" y="97234"/>
              </a:lnTo>
              <a:cubicBezTo>
                <a:pt x="226880" y="43524"/>
                <a:pt x="183356" y="0"/>
                <a:pt x="129646" y="0"/>
              </a:cubicBezTo>
              <a:cubicBezTo>
                <a:pt x="75935" y="0"/>
                <a:pt x="32411" y="43524"/>
                <a:pt x="32411" y="97234"/>
              </a:cubicBezTo>
              <a:lnTo>
                <a:pt x="32411" y="150482"/>
              </a:lnTo>
              <a:lnTo>
                <a:pt x="0" y="152797"/>
              </a:lnTo>
              <a:lnTo>
                <a:pt x="0" y="328745"/>
              </a:lnTo>
              <a:lnTo>
                <a:pt x="129646" y="338005"/>
              </a:lnTo>
              <a:lnTo>
                <a:pt x="259292" y="328745"/>
              </a:lnTo>
              <a:lnTo>
                <a:pt x="259292" y="152797"/>
              </a:lnTo>
              <a:lnTo>
                <a:pt x="226880" y="150482"/>
              </a:lnTo>
              <a:close/>
            </a:path>
          </a:pathLst>
        </a:custGeom>
        <a:solidFill>
          <a:schemeClr val="bg1"/>
        </a:solidFill>
        <a:ln w="4564" cap="flat">
          <a:noFill/>
          <a:prstDash val="solid"/>
          <a:miter/>
        </a:ln>
      </xdr:spPr>
      <xdr:txBody>
        <a:bodyPr rtlCol="0" anchor="ctr"/>
        <a:lstStyle/>
        <a:p>
          <a:endParaRPr lang="fr-FR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8D8AE42-CC14-AB49-BE44-03527A72FCEC}" name="Tableau6" displayName="Tableau6" ref="A8:J22" totalsRowShown="0" headerRowDxfId="53">
  <autoFilter ref="A8:J22" xr:uid="{7A4CD191-0E0F-BE46-A8A0-08DB400AA9A0}"/>
  <tableColumns count="10">
    <tableColumn id="1" xr3:uid="{0EE8DB90-484D-954A-8F76-0619165D2BB6}" name="Mois" dataDxfId="52"/>
    <tableColumn id="2" xr3:uid="{A1DAF463-1D05-444F-B4B9-4CEB89C89A6D}" name="Date" dataDxfId="51"/>
    <tableColumn id="3" xr3:uid="{35B631F9-556F-434F-8F65-B63C148E330C}" name="Catégorie" dataDxfId="50"/>
    <tableColumn id="4" xr3:uid="{99B8E0E7-98C2-164E-B909-5A0E31252A5D}" name="Transaction" dataDxfId="49"/>
    <tableColumn id="5" xr3:uid="{08085C8E-80AA-9842-A842-E25961F197BC}" name="Type de transaction" dataDxfId="48"/>
    <tableColumn id="6" xr3:uid="{ABD3D574-CDBF-9348-81CD-AB8F3928A110}" name="Libellé" dataDxfId="47"/>
    <tableColumn id="7" xr3:uid="{93558600-AF2A-2349-8897-1C6239620919}" name="Quantité" dataDxfId="46"/>
    <tableColumn id="8" xr3:uid="{8655C1DA-9D70-2A48-91C5-262F239A0901}" name="Notes" dataDxfId="45"/>
    <tableColumn id="9" xr3:uid="{1890790A-61A0-8E4E-AD6F-F249A94797F6}" name="Entrée" dataDxfId="44"/>
    <tableColumn id="10" xr3:uid="{5B7A0237-BC2E-6D41-9CC9-151C9DC206B7}" name="Sortie" dataDxfId="4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76BE-D2BB-7D47-AFB0-128DFC573584}">
  <sheetPr codeName="Feuil4">
    <tabColor rgb="FF00B0F0"/>
  </sheetPr>
  <dimension ref="A1:M790"/>
  <sheetViews>
    <sheetView tabSelected="1" zoomScaleNormal="100" workbookViewId="0">
      <selection activeCell="A7" sqref="A7:H7"/>
    </sheetView>
  </sheetViews>
  <sheetFormatPr defaultColWidth="11.42578125" defaultRowHeight="15"/>
  <cols>
    <col min="1" max="1" width="7.42578125" style="49" customWidth="1"/>
    <col min="2" max="2" width="15.42578125" style="82" customWidth="1"/>
    <col min="3" max="3" width="22.140625" style="49" customWidth="1"/>
    <col min="4" max="4" width="14.42578125" style="49" customWidth="1"/>
    <col min="5" max="5" width="22.28515625" style="49" customWidth="1"/>
    <col min="6" max="6" width="22.85546875" style="49" customWidth="1"/>
    <col min="7" max="7" width="10.7109375" style="49" customWidth="1"/>
    <col min="8" max="8" width="32" style="49" customWidth="1"/>
    <col min="9" max="9" width="14.85546875" style="41" customWidth="1"/>
    <col min="10" max="10" width="15.28515625" style="74" customWidth="1"/>
    <col min="11" max="11" width="17.140625" bestFit="1" customWidth="1"/>
    <col min="12" max="12" width="12.85546875" bestFit="1" customWidth="1"/>
    <col min="13" max="13" width="22.7109375" customWidth="1"/>
  </cols>
  <sheetData>
    <row r="1" spans="1:13" ht="84" customHeight="1" thickBot="1">
      <c r="A1" s="95" t="s">
        <v>0</v>
      </c>
      <c r="B1" s="96"/>
      <c r="C1" s="100">
        <f>(SUM(I:J))</f>
        <v>154737</v>
      </c>
      <c r="D1" s="100"/>
      <c r="E1" s="100"/>
      <c r="F1" s="100"/>
      <c r="G1" s="90" t="s">
        <v>1</v>
      </c>
      <c r="H1" s="91"/>
      <c r="I1" s="105" t="s">
        <v>2</v>
      </c>
      <c r="J1" s="106"/>
      <c r="K1" s="106"/>
      <c r="L1" s="107"/>
    </row>
    <row r="2" spans="1:13" ht="38.1" customHeight="1" thickBot="1">
      <c r="A2" s="92" t="s">
        <v>3</v>
      </c>
      <c r="B2" s="93"/>
      <c r="C2" s="97" t="s">
        <v>4</v>
      </c>
      <c r="D2" s="97"/>
      <c r="E2" s="97"/>
      <c r="F2" s="97"/>
      <c r="G2" s="97"/>
      <c r="H2" s="97"/>
      <c r="I2" s="101" t="s">
        <v>5</v>
      </c>
      <c r="J2" s="102"/>
      <c r="K2" s="108">
        <f>149.5+(SUMIF(A:A,I2,I:I))+(SUMIF(A:A,I2,J:J))</f>
        <v>154886.5</v>
      </c>
      <c r="L2" s="109"/>
    </row>
    <row r="3" spans="1:13" ht="27.95" thickBot="1">
      <c r="A3" s="93"/>
      <c r="B3" s="93"/>
      <c r="C3" s="34" t="s">
        <v>6</v>
      </c>
      <c r="D3" s="35"/>
      <c r="E3" s="35"/>
      <c r="F3" s="35"/>
      <c r="G3" s="35"/>
      <c r="H3" s="35"/>
      <c r="I3" s="103" t="s">
        <v>7</v>
      </c>
      <c r="J3" s="104"/>
      <c r="K3" s="88">
        <f>149.5+(SUMIF(E:E,"Espèces",I:I))+(SUMIF(E:E,"Espèces",J:J))</f>
        <v>-9410.5</v>
      </c>
      <c r="L3" s="89"/>
    </row>
    <row r="4" spans="1:13" ht="15.95" customHeight="1">
      <c r="A4" s="93"/>
      <c r="B4" s="93"/>
      <c r="C4" s="36" t="s">
        <v>8</v>
      </c>
      <c r="D4" s="36" t="s">
        <v>9</v>
      </c>
      <c r="E4" s="36" t="s">
        <v>10</v>
      </c>
      <c r="F4" s="36" t="s">
        <v>11</v>
      </c>
      <c r="G4" s="36" t="s">
        <v>12</v>
      </c>
      <c r="H4" s="37" t="s">
        <v>13</v>
      </c>
      <c r="I4" s="85"/>
      <c r="J4" s="86"/>
      <c r="K4" s="86"/>
      <c r="L4" s="86"/>
      <c r="M4" s="86"/>
    </row>
    <row r="5" spans="1:13" ht="15" customHeight="1">
      <c r="A5" s="93"/>
      <c r="B5" s="93"/>
      <c r="C5" s="38" t="s">
        <v>14</v>
      </c>
      <c r="D5" s="39" t="str">
        <f>IF(OR(Ecritures!C5='Réf liste déroulante'!B5,Ecritures!C5='Réf liste déroulante'!B7),'Réf liste déroulante'!C5,'Réf liste déroulante'!C6)</f>
        <v>Encaissement</v>
      </c>
      <c r="E5" s="38" t="s">
        <v>15</v>
      </c>
      <c r="F5" s="38" t="s">
        <v>16</v>
      </c>
      <c r="G5" s="40">
        <v>50</v>
      </c>
      <c r="H5" s="83"/>
      <c r="I5" s="85"/>
      <c r="J5" s="86"/>
      <c r="K5" s="86"/>
      <c r="L5" s="86"/>
      <c r="M5" s="86"/>
    </row>
    <row r="6" spans="1:13" ht="42" customHeight="1">
      <c r="A6" s="94"/>
      <c r="B6" s="94"/>
      <c r="C6" s="25" t="s">
        <v>17</v>
      </c>
      <c r="D6" s="26"/>
      <c r="E6" s="27"/>
      <c r="F6" s="98" t="s">
        <v>18</v>
      </c>
      <c r="G6" s="99"/>
      <c r="H6" s="42"/>
      <c r="K6" s="68"/>
    </row>
    <row r="7" spans="1:13" ht="29.1">
      <c r="A7" s="87" t="s">
        <v>19</v>
      </c>
      <c r="B7" s="87"/>
      <c r="C7" s="87"/>
      <c r="D7" s="87"/>
      <c r="E7" s="87"/>
      <c r="F7" s="87"/>
      <c r="G7" s="87"/>
      <c r="H7" s="87"/>
      <c r="I7" s="33"/>
      <c r="J7" s="75"/>
    </row>
    <row r="8" spans="1:13" ht="15.95">
      <c r="A8" s="43" t="s">
        <v>20</v>
      </c>
      <c r="B8" s="80" t="s">
        <v>21</v>
      </c>
      <c r="C8" s="43" t="s">
        <v>8</v>
      </c>
      <c r="D8" s="43" t="s">
        <v>9</v>
      </c>
      <c r="E8" s="43" t="s">
        <v>10</v>
      </c>
      <c r="F8" s="43" t="s">
        <v>11</v>
      </c>
      <c r="G8" s="43" t="s">
        <v>12</v>
      </c>
      <c r="H8" s="43" t="s">
        <v>13</v>
      </c>
      <c r="I8" s="28" t="s">
        <v>22</v>
      </c>
      <c r="J8" s="76" t="s">
        <v>23</v>
      </c>
      <c r="K8" s="68"/>
      <c r="L8" s="78"/>
    </row>
    <row r="9" spans="1:13" ht="15.95">
      <c r="A9" s="44" t="s">
        <v>24</v>
      </c>
      <c r="B9" s="81">
        <v>44287.831006944441</v>
      </c>
      <c r="C9" s="45" t="s">
        <v>14</v>
      </c>
      <c r="D9" s="45" t="s">
        <v>25</v>
      </c>
      <c r="E9" s="45" t="s">
        <v>15</v>
      </c>
      <c r="F9" s="45" t="s">
        <v>16</v>
      </c>
      <c r="G9" s="45">
        <v>50</v>
      </c>
      <c r="H9" s="46" t="s">
        <v>26</v>
      </c>
      <c r="I9" s="47">
        <v>500000</v>
      </c>
      <c r="J9" s="48"/>
      <c r="K9" s="68"/>
      <c r="L9" s="78"/>
    </row>
    <row r="10" spans="1:13" ht="15.95">
      <c r="A10" s="44" t="s">
        <v>24</v>
      </c>
      <c r="B10" s="81">
        <v>44287.829884259256</v>
      </c>
      <c r="C10" s="45" t="s">
        <v>14</v>
      </c>
      <c r="D10" s="45" t="s">
        <v>25</v>
      </c>
      <c r="E10" s="45" t="s">
        <v>15</v>
      </c>
      <c r="F10" s="45" t="s">
        <v>16</v>
      </c>
      <c r="G10" s="45">
        <v>300</v>
      </c>
      <c r="H10" s="46" t="s">
        <v>27</v>
      </c>
      <c r="I10" s="47">
        <v>15000</v>
      </c>
      <c r="J10" s="48"/>
      <c r="K10" s="68"/>
      <c r="L10" s="78"/>
    </row>
    <row r="11" spans="1:13" ht="15.95">
      <c r="A11" s="44" t="s">
        <v>24</v>
      </c>
      <c r="B11" s="81">
        <v>44287.821909722225</v>
      </c>
      <c r="C11" s="45" t="s">
        <v>28</v>
      </c>
      <c r="D11" s="45" t="s">
        <v>29</v>
      </c>
      <c r="E11" s="45" t="s">
        <v>15</v>
      </c>
      <c r="F11" s="45" t="s">
        <v>30</v>
      </c>
      <c r="G11" s="45">
        <v>1</v>
      </c>
      <c r="H11" s="46" t="s">
        <v>31</v>
      </c>
      <c r="I11" s="47"/>
      <c r="J11" s="48">
        <v>-300</v>
      </c>
      <c r="K11" s="68"/>
      <c r="L11" s="78"/>
    </row>
    <row r="12" spans="1:13" ht="15.95">
      <c r="A12" s="44" t="s">
        <v>24</v>
      </c>
      <c r="B12" s="81">
        <v>44287.820740740739</v>
      </c>
      <c r="C12" s="45" t="s">
        <v>14</v>
      </c>
      <c r="D12" s="45" t="s">
        <v>25</v>
      </c>
      <c r="E12" s="45" t="s">
        <v>32</v>
      </c>
      <c r="F12" s="45" t="s">
        <v>16</v>
      </c>
      <c r="G12" s="45">
        <v>1</v>
      </c>
      <c r="H12" s="46" t="s">
        <v>33</v>
      </c>
      <c r="I12" s="47">
        <v>1500</v>
      </c>
      <c r="J12" s="48"/>
      <c r="K12" s="68"/>
      <c r="L12" s="78"/>
    </row>
    <row r="13" spans="1:13" ht="15.95">
      <c r="A13" s="44" t="s">
        <v>24</v>
      </c>
      <c r="B13" s="81">
        <v>44283.994247685187</v>
      </c>
      <c r="C13" s="45" t="s">
        <v>28</v>
      </c>
      <c r="D13" s="45" t="s">
        <v>29</v>
      </c>
      <c r="E13" s="45" t="s">
        <v>34</v>
      </c>
      <c r="F13" s="45" t="s">
        <v>35</v>
      </c>
      <c r="G13" s="45">
        <v>1</v>
      </c>
      <c r="H13" s="46" t="s">
        <v>36</v>
      </c>
      <c r="I13" s="47"/>
      <c r="J13" s="48">
        <v>-213</v>
      </c>
      <c r="K13" s="68"/>
      <c r="L13" s="78"/>
    </row>
    <row r="14" spans="1:13" ht="15.95">
      <c r="A14" s="44" t="s">
        <v>24</v>
      </c>
      <c r="B14" s="81">
        <v>44283.979409722226</v>
      </c>
      <c r="C14" s="45" t="s">
        <v>28</v>
      </c>
      <c r="D14" s="45" t="s">
        <v>29</v>
      </c>
      <c r="E14" s="45" t="s">
        <v>34</v>
      </c>
      <c r="F14" s="45" t="s">
        <v>35</v>
      </c>
      <c r="G14" s="45">
        <v>1</v>
      </c>
      <c r="H14" s="46" t="s">
        <v>36</v>
      </c>
      <c r="I14" s="47"/>
      <c r="J14" s="48">
        <v>-50000</v>
      </c>
      <c r="K14" s="68"/>
      <c r="L14" s="78"/>
    </row>
    <row r="15" spans="1:13" ht="15.95">
      <c r="A15" s="44" t="s">
        <v>24</v>
      </c>
      <c r="B15" s="81">
        <v>44283.979074074072</v>
      </c>
      <c r="C15" s="45" t="s">
        <v>28</v>
      </c>
      <c r="D15" s="45" t="s">
        <v>29</v>
      </c>
      <c r="E15" s="45" t="s">
        <v>34</v>
      </c>
      <c r="F15" s="45" t="s">
        <v>35</v>
      </c>
      <c r="G15" s="45">
        <v>1</v>
      </c>
      <c r="H15" s="46" t="s">
        <v>36</v>
      </c>
      <c r="I15" s="47"/>
      <c r="J15" s="48">
        <v>-300000</v>
      </c>
      <c r="K15" s="68"/>
      <c r="L15" s="78"/>
    </row>
    <row r="16" spans="1:13" ht="15.95">
      <c r="A16" s="44" t="s">
        <v>24</v>
      </c>
      <c r="B16" s="81">
        <v>44283.978379629632</v>
      </c>
      <c r="C16" s="45" t="s">
        <v>28</v>
      </c>
      <c r="D16" s="45" t="s">
        <v>29</v>
      </c>
      <c r="E16" s="45" t="s">
        <v>32</v>
      </c>
      <c r="F16" s="45" t="s">
        <v>37</v>
      </c>
      <c r="G16" s="45">
        <v>1</v>
      </c>
      <c r="H16" s="46" t="s">
        <v>36</v>
      </c>
      <c r="I16" s="47"/>
      <c r="J16" s="48">
        <v>-10</v>
      </c>
      <c r="K16" s="68"/>
      <c r="L16" s="78"/>
    </row>
    <row r="17" spans="1:12" ht="15.95">
      <c r="A17" s="44" t="s">
        <v>24</v>
      </c>
      <c r="B17" s="81">
        <v>44283.970659722225</v>
      </c>
      <c r="C17" s="45" t="s">
        <v>28</v>
      </c>
      <c r="D17" s="45" t="s">
        <v>29</v>
      </c>
      <c r="E17" s="45" t="s">
        <v>34</v>
      </c>
      <c r="F17" s="45" t="s">
        <v>38</v>
      </c>
      <c r="G17" s="45">
        <v>3</v>
      </c>
      <c r="H17" s="46" t="s">
        <v>39</v>
      </c>
      <c r="I17" s="47"/>
      <c r="J17" s="48">
        <v>-190</v>
      </c>
      <c r="K17" s="68"/>
      <c r="L17" s="78"/>
    </row>
    <row r="18" spans="1:12" ht="15.95">
      <c r="A18" s="44" t="s">
        <v>24</v>
      </c>
      <c r="B18" s="81">
        <v>44283.970300925925</v>
      </c>
      <c r="C18" s="45" t="s">
        <v>28</v>
      </c>
      <c r="D18" s="45" t="s">
        <v>29</v>
      </c>
      <c r="E18" s="45" t="s">
        <v>32</v>
      </c>
      <c r="F18" s="45" t="s">
        <v>40</v>
      </c>
      <c r="G18" s="45">
        <v>3</v>
      </c>
      <c r="H18" s="46" t="s">
        <v>39</v>
      </c>
      <c r="I18" s="47"/>
      <c r="J18" s="48">
        <v>-190</v>
      </c>
      <c r="K18" s="68"/>
      <c r="L18" s="78"/>
    </row>
    <row r="19" spans="1:12" ht="15.95">
      <c r="A19" s="44" t="s">
        <v>24</v>
      </c>
      <c r="B19" s="81">
        <v>44283.969965277778</v>
      </c>
      <c r="C19" s="45" t="s">
        <v>14</v>
      </c>
      <c r="D19" s="45" t="s">
        <v>25</v>
      </c>
      <c r="E19" s="45" t="s">
        <v>32</v>
      </c>
      <c r="F19" s="45" t="s">
        <v>40</v>
      </c>
      <c r="G19" s="45">
        <v>3</v>
      </c>
      <c r="H19" s="46" t="s">
        <v>39</v>
      </c>
      <c r="I19" s="47">
        <v>40</v>
      </c>
      <c r="J19" s="48"/>
      <c r="K19" s="68"/>
      <c r="L19" s="78"/>
    </row>
    <row r="20" spans="1:12" ht="15.95">
      <c r="A20" s="44" t="s">
        <v>24</v>
      </c>
      <c r="B20" s="81">
        <v>44283.935763888891</v>
      </c>
      <c r="C20" s="45" t="s">
        <v>28</v>
      </c>
      <c r="D20" s="45" t="s">
        <v>29</v>
      </c>
      <c r="E20" s="45" t="s">
        <v>32</v>
      </c>
      <c r="F20" s="45" t="s">
        <v>41</v>
      </c>
      <c r="G20" s="45">
        <v>3</v>
      </c>
      <c r="H20" s="46" t="s">
        <v>39</v>
      </c>
      <c r="I20" s="47"/>
      <c r="J20" s="48">
        <v>-10000</v>
      </c>
      <c r="K20" s="68"/>
      <c r="L20" s="78"/>
    </row>
    <row r="21" spans="1:12" ht="15.95">
      <c r="A21" s="44" t="s">
        <v>24</v>
      </c>
      <c r="B21" s="81">
        <v>44283.933900462966</v>
      </c>
      <c r="C21" s="45" t="s">
        <v>28</v>
      </c>
      <c r="D21" s="45" t="s">
        <v>29</v>
      </c>
      <c r="E21" s="45" t="s">
        <v>32</v>
      </c>
      <c r="F21" s="45" t="s">
        <v>41</v>
      </c>
      <c r="G21" s="45">
        <v>3</v>
      </c>
      <c r="H21" s="46" t="s">
        <v>39</v>
      </c>
      <c r="I21" s="47"/>
      <c r="J21" s="48">
        <v>-600</v>
      </c>
      <c r="K21" s="68"/>
      <c r="L21" s="78"/>
    </row>
    <row r="22" spans="1:12" ht="15.95">
      <c r="A22" s="44" t="s">
        <v>24</v>
      </c>
      <c r="B22" s="81">
        <v>44283.933796296296</v>
      </c>
      <c r="C22" s="45" t="s">
        <v>28</v>
      </c>
      <c r="D22" s="45" t="s">
        <v>29</v>
      </c>
      <c r="E22" s="45" t="s">
        <v>32</v>
      </c>
      <c r="F22" s="45" t="s">
        <v>41</v>
      </c>
      <c r="G22" s="45">
        <v>3</v>
      </c>
      <c r="H22" s="46" t="s">
        <v>39</v>
      </c>
      <c r="I22" s="47"/>
      <c r="J22" s="48">
        <v>-300</v>
      </c>
      <c r="K22" s="68"/>
      <c r="L22" s="78"/>
    </row>
    <row r="23" spans="1:12" ht="15.95">
      <c r="A23" s="44"/>
      <c r="B23" s="81"/>
      <c r="C23" s="45"/>
      <c r="D23" s="45"/>
      <c r="E23" s="45"/>
      <c r="F23" s="45"/>
      <c r="G23" s="45"/>
      <c r="H23" s="46"/>
      <c r="I23" s="47"/>
      <c r="J23" s="48"/>
      <c r="L23" s="29"/>
    </row>
    <row r="24" spans="1:12" ht="15.95">
      <c r="A24" s="44"/>
      <c r="B24" s="81"/>
      <c r="C24" s="45"/>
      <c r="D24" s="45"/>
      <c r="E24" s="45"/>
      <c r="F24" s="45"/>
      <c r="G24" s="45"/>
      <c r="H24" s="46"/>
      <c r="I24" s="47"/>
      <c r="J24" s="48"/>
      <c r="L24" s="29"/>
    </row>
    <row r="25" spans="1:12" ht="15.95">
      <c r="A25" s="44"/>
      <c r="B25" s="81"/>
      <c r="C25" s="45"/>
      <c r="D25" s="45"/>
      <c r="E25" s="45"/>
      <c r="F25" s="45"/>
      <c r="G25" s="45"/>
      <c r="H25" s="46"/>
      <c r="I25" s="47"/>
      <c r="J25" s="48"/>
      <c r="L25" s="29"/>
    </row>
    <row r="26" spans="1:12" ht="15.95">
      <c r="A26" s="44"/>
      <c r="B26" s="81"/>
      <c r="C26" s="45"/>
      <c r="D26" s="45"/>
      <c r="E26" s="45"/>
      <c r="F26" s="45"/>
      <c r="G26" s="45"/>
      <c r="H26" s="46"/>
      <c r="I26" s="47"/>
      <c r="J26" s="48"/>
      <c r="L26" s="29"/>
    </row>
    <row r="27" spans="1:12" ht="15.95">
      <c r="A27" s="44"/>
      <c r="B27" s="81"/>
      <c r="C27" s="45"/>
      <c r="D27" s="45"/>
      <c r="E27" s="45"/>
      <c r="F27" s="45"/>
      <c r="G27" s="45"/>
      <c r="H27" s="46"/>
      <c r="I27" s="47"/>
      <c r="J27" s="48"/>
      <c r="L27" s="29"/>
    </row>
    <row r="28" spans="1:12" ht="15.95">
      <c r="A28" s="44"/>
      <c r="B28" s="81"/>
      <c r="C28" s="45"/>
      <c r="D28" s="45"/>
      <c r="E28" s="45"/>
      <c r="F28" s="45"/>
      <c r="G28" s="45"/>
      <c r="H28" s="46"/>
      <c r="I28" s="47"/>
      <c r="J28" s="48"/>
      <c r="L28" s="29"/>
    </row>
    <row r="29" spans="1:12" ht="15.95">
      <c r="A29" s="44"/>
      <c r="B29" s="81"/>
      <c r="C29" s="45"/>
      <c r="D29" s="45"/>
      <c r="E29" s="45"/>
      <c r="F29" s="45"/>
      <c r="G29" s="45"/>
      <c r="H29" s="46"/>
      <c r="I29" s="47"/>
      <c r="J29" s="48"/>
      <c r="K29" s="49"/>
      <c r="L29" s="29"/>
    </row>
    <row r="30" spans="1:12" ht="15.95">
      <c r="A30" s="44"/>
      <c r="B30" s="81"/>
      <c r="C30" s="45"/>
      <c r="D30" s="45"/>
      <c r="E30" s="45"/>
      <c r="F30" s="45"/>
      <c r="G30" s="45"/>
      <c r="I30" s="47"/>
      <c r="J30" s="48"/>
      <c r="L30" s="29"/>
    </row>
    <row r="31" spans="1:12" ht="15.95">
      <c r="A31" s="44"/>
      <c r="B31" s="81"/>
      <c r="C31" s="45"/>
      <c r="D31" s="45"/>
      <c r="E31" s="45"/>
      <c r="F31" s="45"/>
      <c r="G31" s="45"/>
      <c r="I31" s="47"/>
      <c r="J31" s="48"/>
      <c r="L31" s="29"/>
    </row>
    <row r="32" spans="1:12" ht="15.95">
      <c r="A32" s="44"/>
      <c r="B32" s="81"/>
      <c r="C32" s="45"/>
      <c r="D32" s="45"/>
      <c r="E32" s="45"/>
      <c r="F32" s="45"/>
      <c r="G32" s="45"/>
      <c r="I32" s="47"/>
      <c r="J32" s="48"/>
      <c r="L32" s="29"/>
    </row>
    <row r="33" spans="1:12" ht="15.95">
      <c r="A33" s="44"/>
      <c r="B33" s="81"/>
      <c r="C33" s="45"/>
      <c r="D33" s="45"/>
      <c r="E33" s="45"/>
      <c r="F33" s="45"/>
      <c r="G33" s="45"/>
      <c r="I33" s="47"/>
      <c r="J33" s="48"/>
      <c r="L33" s="29"/>
    </row>
    <row r="34" spans="1:12" ht="15.95">
      <c r="A34" s="44"/>
      <c r="B34" s="81"/>
      <c r="C34" s="45"/>
      <c r="D34" s="45"/>
      <c r="E34" s="45"/>
      <c r="F34" s="45"/>
      <c r="G34" s="45"/>
      <c r="I34" s="47"/>
      <c r="J34" s="48"/>
      <c r="L34" s="29"/>
    </row>
    <row r="35" spans="1:12" ht="15.95">
      <c r="A35" s="44"/>
      <c r="B35" s="81"/>
      <c r="C35" s="45"/>
      <c r="D35" s="45"/>
      <c r="E35" s="45"/>
      <c r="F35" s="45"/>
      <c r="G35" s="45"/>
      <c r="I35" s="47"/>
      <c r="J35" s="48"/>
      <c r="L35" s="29"/>
    </row>
    <row r="36" spans="1:12" ht="15.95">
      <c r="A36" s="44"/>
      <c r="B36" s="81"/>
      <c r="C36" s="45"/>
      <c r="D36" s="45"/>
      <c r="E36" s="45"/>
      <c r="F36" s="45"/>
      <c r="G36" s="45"/>
      <c r="I36" s="47"/>
      <c r="J36" s="48"/>
      <c r="L36" s="29"/>
    </row>
    <row r="37" spans="1:12" ht="15.95">
      <c r="A37" s="44"/>
      <c r="B37" s="81"/>
      <c r="C37" s="45"/>
      <c r="D37" s="45"/>
      <c r="E37" s="45"/>
      <c r="F37" s="45"/>
      <c r="G37" s="45"/>
      <c r="I37" s="47"/>
      <c r="J37" s="48"/>
      <c r="L37" s="29"/>
    </row>
    <row r="38" spans="1:12" ht="15.95">
      <c r="A38" s="44"/>
      <c r="B38" s="81"/>
      <c r="C38" s="45"/>
      <c r="D38" s="45"/>
      <c r="E38" s="45"/>
      <c r="F38" s="45"/>
      <c r="G38" s="45"/>
      <c r="I38" s="47"/>
      <c r="J38" s="48"/>
      <c r="L38" s="29"/>
    </row>
    <row r="39" spans="1:12" ht="15.95">
      <c r="A39" s="44"/>
      <c r="B39" s="81"/>
      <c r="C39" s="45"/>
      <c r="D39" s="45"/>
      <c r="E39" s="45"/>
      <c r="F39" s="45"/>
      <c r="G39" s="45"/>
      <c r="I39" s="47"/>
      <c r="J39" s="48"/>
      <c r="L39" s="29"/>
    </row>
    <row r="40" spans="1:12" ht="15.95">
      <c r="A40" s="44"/>
      <c r="B40" s="81"/>
      <c r="C40" s="45"/>
      <c r="D40" s="45"/>
      <c r="E40" s="45"/>
      <c r="F40" s="45"/>
      <c r="G40" s="45"/>
      <c r="I40" s="47"/>
      <c r="J40" s="48"/>
      <c r="L40" s="29"/>
    </row>
    <row r="41" spans="1:12" ht="15.95">
      <c r="A41" s="44"/>
      <c r="B41" s="81"/>
      <c r="C41" s="45"/>
      <c r="D41" s="45"/>
      <c r="E41" s="45"/>
      <c r="F41" s="45"/>
      <c r="G41" s="45"/>
      <c r="I41" s="47"/>
      <c r="J41" s="48"/>
      <c r="L41" s="29"/>
    </row>
    <row r="42" spans="1:12" ht="15.95">
      <c r="A42" s="44"/>
      <c r="B42" s="81"/>
      <c r="C42" s="45"/>
      <c r="D42" s="45"/>
      <c r="E42" s="45"/>
      <c r="F42" s="45"/>
      <c r="G42" s="45"/>
      <c r="H42" s="50"/>
      <c r="I42" s="47"/>
      <c r="J42" s="48"/>
      <c r="L42" s="29"/>
    </row>
    <row r="43" spans="1:12" ht="15.95">
      <c r="A43" s="44"/>
      <c r="B43" s="81"/>
      <c r="C43" s="45"/>
      <c r="D43" s="45"/>
      <c r="E43" s="45"/>
      <c r="F43" s="45"/>
      <c r="G43" s="45"/>
      <c r="H43" s="50"/>
      <c r="I43" s="47"/>
      <c r="J43" s="48"/>
      <c r="L43" s="29"/>
    </row>
    <row r="44" spans="1:12" ht="15.95">
      <c r="A44" s="44"/>
      <c r="B44" s="81"/>
      <c r="C44" s="45"/>
      <c r="D44" s="45"/>
      <c r="E44" s="45"/>
      <c r="F44" s="45"/>
      <c r="G44" s="45"/>
      <c r="H44" s="50"/>
      <c r="I44" s="47"/>
      <c r="J44" s="48"/>
      <c r="L44" s="29"/>
    </row>
    <row r="45" spans="1:12" ht="15.95">
      <c r="A45" s="44"/>
      <c r="B45" s="81"/>
      <c r="C45" s="45"/>
      <c r="D45" s="45"/>
      <c r="E45" s="45"/>
      <c r="F45" s="45"/>
      <c r="G45" s="45"/>
      <c r="H45" s="50"/>
      <c r="I45" s="47"/>
      <c r="J45" s="48"/>
      <c r="L45" s="29"/>
    </row>
    <row r="46" spans="1:12" ht="15.95">
      <c r="A46" s="44"/>
      <c r="B46" s="81"/>
      <c r="C46" s="45"/>
      <c r="D46" s="45"/>
      <c r="E46" s="45"/>
      <c r="F46" s="45"/>
      <c r="G46" s="45"/>
      <c r="H46" s="50"/>
      <c r="I46" s="47"/>
      <c r="J46" s="48"/>
      <c r="L46" s="29"/>
    </row>
    <row r="47" spans="1:12" ht="15.95">
      <c r="A47" s="44"/>
      <c r="B47" s="81"/>
      <c r="C47" s="45"/>
      <c r="D47" s="45"/>
      <c r="E47" s="45"/>
      <c r="F47" s="45"/>
      <c r="G47" s="45"/>
      <c r="H47" s="50"/>
      <c r="I47" s="47"/>
      <c r="J47" s="48"/>
      <c r="L47" s="29"/>
    </row>
    <row r="48" spans="1:12" ht="15.95">
      <c r="A48" s="44"/>
      <c r="B48" s="81"/>
      <c r="C48" s="45"/>
      <c r="D48" s="45"/>
      <c r="E48" s="45"/>
      <c r="F48" s="45"/>
      <c r="G48" s="45"/>
      <c r="H48" s="50"/>
      <c r="I48" s="47"/>
      <c r="J48" s="48"/>
      <c r="L48" s="29"/>
    </row>
    <row r="49" spans="1:12" ht="15.95">
      <c r="A49" s="44"/>
      <c r="B49" s="81"/>
      <c r="C49" s="45"/>
      <c r="D49" s="45"/>
      <c r="E49" s="45"/>
      <c r="F49" s="45"/>
      <c r="G49" s="45"/>
      <c r="H49" s="50"/>
      <c r="I49" s="47"/>
      <c r="J49" s="48"/>
      <c r="L49" s="29"/>
    </row>
    <row r="50" spans="1:12" ht="15.95">
      <c r="A50" s="44"/>
      <c r="B50" s="81"/>
      <c r="C50" s="45"/>
      <c r="D50" s="45"/>
      <c r="E50" s="45"/>
      <c r="F50" s="45"/>
      <c r="G50" s="45"/>
      <c r="H50" s="50"/>
      <c r="I50" s="47"/>
      <c r="J50" s="48"/>
      <c r="L50" s="29"/>
    </row>
    <row r="51" spans="1:12" ht="15.95">
      <c r="A51" s="44"/>
      <c r="B51" s="81"/>
      <c r="C51" s="45"/>
      <c r="D51" s="45"/>
      <c r="E51" s="45"/>
      <c r="F51" s="45"/>
      <c r="G51" s="45"/>
      <c r="H51" s="50"/>
      <c r="I51" s="47"/>
      <c r="J51" s="48"/>
      <c r="L51" s="29"/>
    </row>
    <row r="52" spans="1:12" ht="15.95">
      <c r="A52" s="44"/>
      <c r="B52" s="81"/>
      <c r="C52" s="45"/>
      <c r="D52" s="45"/>
      <c r="E52" s="45"/>
      <c r="F52" s="45"/>
      <c r="G52" s="45"/>
      <c r="H52" s="50"/>
      <c r="I52" s="47"/>
      <c r="J52" s="48"/>
      <c r="L52" s="29"/>
    </row>
    <row r="53" spans="1:12" ht="15.95">
      <c r="A53" s="44"/>
      <c r="B53" s="81"/>
      <c r="C53" s="45"/>
      <c r="D53" s="45"/>
      <c r="E53" s="45"/>
      <c r="F53" s="45"/>
      <c r="G53" s="45"/>
      <c r="H53" s="50"/>
      <c r="I53" s="47"/>
      <c r="J53" s="48"/>
      <c r="L53" s="29"/>
    </row>
    <row r="54" spans="1:12" ht="15.95">
      <c r="A54" s="44"/>
      <c r="B54" s="81"/>
      <c r="C54" s="45"/>
      <c r="D54" s="45"/>
      <c r="E54" s="45"/>
      <c r="F54" s="45"/>
      <c r="G54" s="45"/>
      <c r="H54" s="50"/>
      <c r="I54" s="47"/>
      <c r="J54" s="48"/>
      <c r="L54" s="29"/>
    </row>
    <row r="55" spans="1:12" ht="15.95">
      <c r="A55" s="44"/>
      <c r="B55" s="81"/>
      <c r="C55" s="45"/>
      <c r="D55" s="45"/>
      <c r="E55" s="45"/>
      <c r="F55" s="45"/>
      <c r="G55" s="45"/>
      <c r="H55" s="50"/>
      <c r="I55" s="47"/>
      <c r="J55" s="48"/>
      <c r="L55" s="29"/>
    </row>
    <row r="56" spans="1:12" ht="15.95">
      <c r="A56" s="44"/>
      <c r="B56" s="81"/>
      <c r="C56" s="45"/>
      <c r="D56" s="45"/>
      <c r="E56" s="45"/>
      <c r="F56" s="45"/>
      <c r="G56" s="45"/>
      <c r="H56" s="50"/>
      <c r="I56" s="47"/>
      <c r="J56" s="48"/>
      <c r="L56" s="29"/>
    </row>
    <row r="57" spans="1:12" ht="15.95">
      <c r="A57" s="44"/>
      <c r="B57" s="81"/>
      <c r="C57" s="45"/>
      <c r="D57" s="45"/>
      <c r="E57" s="45"/>
      <c r="F57" s="45"/>
      <c r="G57" s="45"/>
      <c r="H57" s="50"/>
      <c r="I57" s="47"/>
      <c r="J57" s="48"/>
      <c r="L57" s="29"/>
    </row>
    <row r="58" spans="1:12" ht="15.95">
      <c r="A58" s="44"/>
      <c r="B58" s="81"/>
      <c r="C58" s="45"/>
      <c r="D58" s="45"/>
      <c r="E58" s="45"/>
      <c r="F58" s="45"/>
      <c r="G58" s="45"/>
      <c r="H58" s="50"/>
      <c r="I58" s="47"/>
      <c r="J58" s="48"/>
      <c r="L58" s="29"/>
    </row>
    <row r="59" spans="1:12" ht="15.95">
      <c r="A59" s="44"/>
      <c r="B59" s="81"/>
      <c r="C59" s="45"/>
      <c r="D59" s="45"/>
      <c r="E59" s="45"/>
      <c r="F59" s="45"/>
      <c r="G59" s="45"/>
      <c r="H59" s="50"/>
      <c r="I59" s="47"/>
      <c r="J59" s="48"/>
      <c r="L59" s="29"/>
    </row>
    <row r="60" spans="1:12" ht="15.95">
      <c r="A60" s="44"/>
      <c r="B60" s="81"/>
      <c r="C60" s="45"/>
      <c r="D60" s="45"/>
      <c r="E60" s="45"/>
      <c r="F60" s="45"/>
      <c r="G60" s="45"/>
      <c r="H60" s="50"/>
      <c r="I60" s="47"/>
      <c r="J60" s="48"/>
      <c r="L60" s="29"/>
    </row>
    <row r="61" spans="1:12" ht="15.95">
      <c r="A61" s="44"/>
      <c r="B61" s="81"/>
      <c r="C61" s="45"/>
      <c r="D61" s="45"/>
      <c r="E61" s="45"/>
      <c r="F61" s="45"/>
      <c r="G61" s="45"/>
      <c r="H61" s="50"/>
      <c r="I61" s="47"/>
      <c r="J61" s="48"/>
      <c r="L61" s="29"/>
    </row>
    <row r="62" spans="1:12" ht="15.95">
      <c r="A62" s="44"/>
      <c r="B62" s="81"/>
      <c r="C62" s="45"/>
      <c r="D62" s="45"/>
      <c r="E62" s="45"/>
      <c r="F62" s="45"/>
      <c r="G62" s="45"/>
      <c r="H62" s="50"/>
      <c r="I62" s="47"/>
      <c r="J62" s="48"/>
      <c r="L62" s="29"/>
    </row>
    <row r="63" spans="1:12" ht="15.95">
      <c r="A63" s="44"/>
      <c r="B63" s="81"/>
      <c r="C63" s="45"/>
      <c r="D63" s="45"/>
      <c r="E63" s="45"/>
      <c r="F63" s="45"/>
      <c r="G63" s="45"/>
      <c r="H63" s="50"/>
      <c r="I63" s="47"/>
      <c r="J63" s="48"/>
      <c r="L63" s="29"/>
    </row>
    <row r="64" spans="1:12" ht="15.95">
      <c r="A64" s="44"/>
      <c r="B64" s="81"/>
      <c r="C64" s="45"/>
      <c r="D64" s="45"/>
      <c r="E64" s="45"/>
      <c r="F64" s="45"/>
      <c r="G64" s="45"/>
      <c r="H64" s="50"/>
      <c r="I64" s="47"/>
      <c r="J64" s="48"/>
      <c r="L64" s="29"/>
    </row>
    <row r="65" spans="1:12" ht="15.95">
      <c r="A65" s="44"/>
      <c r="B65" s="81"/>
      <c r="C65" s="45"/>
      <c r="D65" s="45"/>
      <c r="E65" s="45"/>
      <c r="F65" s="45"/>
      <c r="G65" s="45"/>
      <c r="H65" s="50"/>
      <c r="I65" s="47"/>
      <c r="J65" s="48"/>
      <c r="L65" s="29"/>
    </row>
    <row r="66" spans="1:12" ht="15.95">
      <c r="A66" s="44"/>
      <c r="B66" s="81"/>
      <c r="C66" s="45"/>
      <c r="D66" s="45"/>
      <c r="E66" s="45"/>
      <c r="F66" s="45"/>
      <c r="G66" s="45"/>
      <c r="H66" s="50"/>
      <c r="I66" s="47"/>
      <c r="J66" s="48"/>
      <c r="L66" s="29"/>
    </row>
    <row r="67" spans="1:12" ht="15.95">
      <c r="A67" s="44"/>
      <c r="B67" s="81"/>
      <c r="C67" s="45"/>
      <c r="D67" s="45"/>
      <c r="E67" s="45"/>
      <c r="F67" s="45"/>
      <c r="G67" s="45"/>
      <c r="H67" s="50"/>
      <c r="I67" s="47"/>
      <c r="J67" s="48"/>
      <c r="L67" s="29"/>
    </row>
    <row r="68" spans="1:12" ht="15.95">
      <c r="A68" s="44"/>
      <c r="B68" s="81"/>
      <c r="C68" s="45"/>
      <c r="D68" s="45"/>
      <c r="E68" s="45"/>
      <c r="F68" s="45"/>
      <c r="G68" s="45"/>
      <c r="H68" s="50"/>
      <c r="I68" s="47"/>
      <c r="J68" s="48"/>
      <c r="L68" s="29"/>
    </row>
    <row r="69" spans="1:12" ht="15.95">
      <c r="A69" s="44"/>
      <c r="B69" s="81"/>
      <c r="C69" s="45"/>
      <c r="D69" s="45"/>
      <c r="E69" s="45"/>
      <c r="F69" s="45"/>
      <c r="G69" s="45"/>
      <c r="H69" s="50"/>
      <c r="I69" s="47"/>
      <c r="J69" s="48"/>
      <c r="L69" s="29"/>
    </row>
    <row r="70" spans="1:12" ht="15.95">
      <c r="A70" s="44"/>
      <c r="B70" s="81"/>
      <c r="C70" s="45"/>
      <c r="D70" s="45"/>
      <c r="E70" s="45"/>
      <c r="F70" s="45"/>
      <c r="G70" s="45"/>
      <c r="H70" s="50"/>
      <c r="I70" s="47"/>
      <c r="J70" s="48"/>
      <c r="L70" s="29"/>
    </row>
    <row r="71" spans="1:12" ht="15.95">
      <c r="A71" s="44"/>
      <c r="B71" s="81"/>
      <c r="C71" s="45"/>
      <c r="D71" s="45"/>
      <c r="E71" s="45"/>
      <c r="F71" s="45"/>
      <c r="G71" s="45"/>
      <c r="H71" s="50"/>
      <c r="I71" s="47"/>
      <c r="J71" s="48"/>
      <c r="L71" s="29"/>
    </row>
    <row r="72" spans="1:12" ht="15.95">
      <c r="A72" s="44"/>
      <c r="B72" s="81"/>
      <c r="C72" s="45"/>
      <c r="D72" s="45"/>
      <c r="E72" s="45"/>
      <c r="F72" s="45"/>
      <c r="G72" s="45"/>
      <c r="H72" s="50"/>
      <c r="I72" s="47"/>
      <c r="J72" s="48"/>
      <c r="L72" s="29"/>
    </row>
    <row r="73" spans="1:12" ht="15.95">
      <c r="A73" s="44"/>
      <c r="B73" s="81"/>
      <c r="C73" s="45"/>
      <c r="D73" s="45"/>
      <c r="E73" s="45"/>
      <c r="F73" s="45"/>
      <c r="G73" s="45"/>
      <c r="H73" s="50"/>
      <c r="I73" s="47"/>
      <c r="J73" s="48"/>
      <c r="L73" s="29"/>
    </row>
    <row r="74" spans="1:12" ht="15.95">
      <c r="A74" s="44"/>
      <c r="B74" s="81"/>
      <c r="C74" s="45"/>
      <c r="D74" s="45"/>
      <c r="E74" s="45"/>
      <c r="F74" s="45"/>
      <c r="G74" s="45"/>
      <c r="H74" s="50"/>
      <c r="I74" s="47"/>
      <c r="J74" s="48"/>
      <c r="L74" s="29"/>
    </row>
    <row r="75" spans="1:12" ht="15.95">
      <c r="A75" s="44"/>
      <c r="B75" s="81"/>
      <c r="C75" s="45"/>
      <c r="D75" s="45"/>
      <c r="E75" s="45"/>
      <c r="F75" s="45"/>
      <c r="G75" s="45"/>
      <c r="H75" s="50"/>
      <c r="I75" s="47"/>
      <c r="J75" s="48"/>
      <c r="L75" s="29"/>
    </row>
    <row r="76" spans="1:12" ht="15.95">
      <c r="A76" s="44"/>
      <c r="B76" s="81"/>
      <c r="C76" s="45"/>
      <c r="D76" s="45"/>
      <c r="E76" s="45"/>
      <c r="F76" s="45"/>
      <c r="G76" s="45"/>
      <c r="H76" s="50"/>
      <c r="I76" s="47"/>
      <c r="J76" s="48"/>
      <c r="L76" s="30"/>
    </row>
    <row r="77" spans="1:12" ht="15.95">
      <c r="A77" s="44"/>
      <c r="B77" s="81"/>
      <c r="C77" s="45"/>
      <c r="D77" s="45"/>
      <c r="E77" s="45"/>
      <c r="F77" s="45"/>
      <c r="G77" s="45"/>
      <c r="H77" s="50"/>
      <c r="I77" s="47"/>
      <c r="J77" s="48"/>
      <c r="L77" s="30"/>
    </row>
    <row r="78" spans="1:12" ht="15.95">
      <c r="A78" s="44"/>
      <c r="B78" s="81"/>
      <c r="C78" s="45"/>
      <c r="D78" s="45"/>
      <c r="E78" s="45"/>
      <c r="F78" s="45"/>
      <c r="G78" s="45"/>
      <c r="H78" s="50"/>
      <c r="I78" s="47"/>
      <c r="J78" s="48"/>
      <c r="L78" s="30"/>
    </row>
    <row r="79" spans="1:12" ht="15.95">
      <c r="A79" s="44"/>
      <c r="B79" s="81"/>
      <c r="C79" s="45"/>
      <c r="D79" s="45"/>
      <c r="E79" s="45"/>
      <c r="F79" s="45"/>
      <c r="G79" s="45"/>
      <c r="H79" s="50"/>
      <c r="I79" s="47"/>
      <c r="J79" s="48"/>
      <c r="L79" s="30"/>
    </row>
    <row r="80" spans="1:12" ht="15.95">
      <c r="A80" s="44"/>
      <c r="B80" s="81"/>
      <c r="C80" s="45"/>
      <c r="D80" s="45"/>
      <c r="E80" s="45"/>
      <c r="F80" s="45"/>
      <c r="G80" s="45"/>
      <c r="H80" s="50"/>
      <c r="I80" s="47"/>
      <c r="J80" s="48"/>
      <c r="L80" s="30"/>
    </row>
    <row r="81" spans="1:12" ht="15.95">
      <c r="A81" s="44"/>
      <c r="B81" s="81"/>
      <c r="C81" s="45"/>
      <c r="D81" s="45"/>
      <c r="E81" s="45"/>
      <c r="F81" s="45"/>
      <c r="G81" s="45"/>
      <c r="H81" s="50"/>
      <c r="I81" s="47"/>
      <c r="J81" s="48"/>
      <c r="L81" s="30"/>
    </row>
    <row r="82" spans="1:12" ht="15.95">
      <c r="A82" s="44"/>
      <c r="B82" s="81"/>
      <c r="C82" s="45"/>
      <c r="D82" s="45"/>
      <c r="E82" s="45"/>
      <c r="F82" s="45"/>
      <c r="G82" s="45"/>
      <c r="H82" s="50"/>
      <c r="I82" s="47"/>
      <c r="J82" s="48"/>
      <c r="L82" s="30"/>
    </row>
    <row r="83" spans="1:12" ht="15.95">
      <c r="A83" s="44"/>
      <c r="B83" s="81"/>
      <c r="C83" s="45"/>
      <c r="D83" s="45"/>
      <c r="E83" s="45"/>
      <c r="F83" s="45"/>
      <c r="G83" s="45"/>
      <c r="H83" s="50"/>
      <c r="I83" s="47"/>
      <c r="J83" s="48"/>
      <c r="L83" s="30"/>
    </row>
    <row r="84" spans="1:12" ht="15.95">
      <c r="A84" s="44"/>
      <c r="B84" s="81"/>
      <c r="C84" s="45"/>
      <c r="D84" s="45"/>
      <c r="E84" s="45"/>
      <c r="F84" s="45"/>
      <c r="G84" s="45"/>
      <c r="H84" s="50"/>
      <c r="I84" s="47"/>
      <c r="J84" s="48"/>
      <c r="L84" s="30"/>
    </row>
    <row r="85" spans="1:12" ht="15.95">
      <c r="A85" s="44"/>
      <c r="B85" s="81"/>
      <c r="C85" s="45"/>
      <c r="D85" s="45"/>
      <c r="E85" s="45"/>
      <c r="F85" s="45"/>
      <c r="G85" s="45"/>
      <c r="H85" s="50"/>
      <c r="I85" s="47"/>
      <c r="J85" s="48"/>
      <c r="L85" s="30"/>
    </row>
    <row r="86" spans="1:12" ht="15.95">
      <c r="A86" s="44"/>
      <c r="B86" s="81"/>
      <c r="C86" s="45"/>
      <c r="D86" s="45"/>
      <c r="E86" s="45"/>
      <c r="F86" s="45"/>
      <c r="G86" s="45"/>
      <c r="H86" s="50"/>
      <c r="I86" s="47"/>
      <c r="J86" s="48"/>
      <c r="L86" s="30"/>
    </row>
    <row r="87" spans="1:12" ht="15.95">
      <c r="A87" s="44"/>
      <c r="B87" s="81"/>
      <c r="C87" s="45"/>
      <c r="D87" s="45"/>
      <c r="E87" s="45"/>
      <c r="F87" s="45"/>
      <c r="G87" s="45"/>
      <c r="H87" s="50"/>
      <c r="I87" s="47"/>
      <c r="J87" s="48"/>
      <c r="L87" s="30"/>
    </row>
    <row r="88" spans="1:12" ht="15.95">
      <c r="A88" s="44"/>
      <c r="B88" s="81"/>
      <c r="C88" s="45"/>
      <c r="D88" s="45"/>
      <c r="E88" s="45"/>
      <c r="F88" s="45"/>
      <c r="G88" s="45"/>
      <c r="H88" s="50"/>
      <c r="I88" s="47"/>
      <c r="J88" s="48"/>
    </row>
    <row r="89" spans="1:12" ht="15.95">
      <c r="A89" s="44"/>
      <c r="B89" s="81"/>
      <c r="C89" s="45"/>
      <c r="D89" s="45"/>
      <c r="E89" s="45"/>
      <c r="F89" s="45"/>
      <c r="G89" s="45"/>
      <c r="H89" s="50"/>
      <c r="I89" s="47"/>
      <c r="J89" s="48"/>
    </row>
    <row r="90" spans="1:12" ht="15.95">
      <c r="A90" s="44"/>
      <c r="B90" s="81"/>
      <c r="C90" s="45"/>
      <c r="D90" s="45"/>
      <c r="E90" s="45"/>
      <c r="F90" s="45"/>
      <c r="G90" s="45"/>
      <c r="H90" s="45"/>
      <c r="I90" s="47"/>
      <c r="J90" s="48"/>
    </row>
    <row r="91" spans="1:12" ht="15.95">
      <c r="A91" s="44"/>
      <c r="B91" s="81"/>
      <c r="C91" s="45"/>
      <c r="D91" s="45"/>
      <c r="E91" s="45"/>
      <c r="F91" s="45"/>
      <c r="G91" s="45"/>
      <c r="H91" s="45"/>
      <c r="I91" s="47"/>
      <c r="J91" s="48"/>
    </row>
    <row r="92" spans="1:12" ht="15.95">
      <c r="A92" s="44"/>
      <c r="B92" s="81"/>
      <c r="C92" s="45"/>
      <c r="D92" s="45"/>
      <c r="E92" s="45"/>
      <c r="F92" s="45"/>
      <c r="G92" s="45"/>
      <c r="H92" s="45"/>
      <c r="I92" s="47"/>
      <c r="J92" s="48"/>
    </row>
    <row r="93" spans="1:12" ht="15.95">
      <c r="A93" s="44"/>
      <c r="B93" s="81"/>
      <c r="C93" s="45"/>
      <c r="D93" s="45"/>
      <c r="E93" s="45"/>
      <c r="F93" s="45"/>
      <c r="G93" s="45"/>
      <c r="H93" s="45"/>
      <c r="I93" s="47"/>
      <c r="J93" s="48"/>
    </row>
    <row r="94" spans="1:12" ht="15.95">
      <c r="A94" s="44"/>
      <c r="B94" s="81"/>
      <c r="C94" s="45"/>
      <c r="D94" s="45"/>
      <c r="E94" s="45"/>
      <c r="F94" s="45"/>
      <c r="G94" s="45"/>
      <c r="H94" s="45"/>
      <c r="I94" s="47"/>
      <c r="J94" s="48"/>
    </row>
    <row r="95" spans="1:12" ht="15.95">
      <c r="A95" s="44"/>
      <c r="B95" s="81"/>
      <c r="C95" s="45"/>
      <c r="D95" s="45"/>
      <c r="E95" s="45"/>
      <c r="F95" s="45"/>
      <c r="G95" s="45"/>
      <c r="H95" s="45"/>
      <c r="I95" s="47"/>
      <c r="J95" s="48"/>
    </row>
    <row r="96" spans="1:12" ht="15.95">
      <c r="A96" s="44"/>
      <c r="B96" s="81"/>
      <c r="C96" s="45"/>
      <c r="D96" s="45"/>
      <c r="E96" s="45"/>
      <c r="F96" s="45"/>
      <c r="G96" s="45"/>
      <c r="H96" s="45"/>
      <c r="I96" s="47"/>
      <c r="J96" s="48"/>
    </row>
    <row r="97" spans="1:10" ht="15.95">
      <c r="A97" s="44"/>
      <c r="B97" s="81"/>
      <c r="C97" s="45"/>
      <c r="D97" s="45"/>
      <c r="E97" s="45"/>
      <c r="F97" s="45"/>
      <c r="G97" s="45"/>
      <c r="H97" s="45"/>
      <c r="I97" s="47"/>
      <c r="J97" s="48"/>
    </row>
    <row r="98" spans="1:10" ht="15.95">
      <c r="A98" s="44"/>
      <c r="B98" s="81"/>
      <c r="C98" s="45"/>
      <c r="D98" s="45"/>
      <c r="E98" s="45"/>
      <c r="F98" s="45"/>
      <c r="G98" s="45"/>
      <c r="H98" s="45"/>
      <c r="I98" s="47"/>
      <c r="J98" s="48"/>
    </row>
    <row r="99" spans="1:10" ht="15.95">
      <c r="A99" s="44"/>
      <c r="B99" s="81"/>
      <c r="C99" s="45"/>
      <c r="D99" s="45"/>
      <c r="E99" s="45"/>
      <c r="F99" s="45"/>
      <c r="G99" s="45"/>
      <c r="H99" s="45"/>
      <c r="I99" s="47"/>
      <c r="J99" s="48"/>
    </row>
    <row r="100" spans="1:10" ht="15.95">
      <c r="A100" s="44"/>
      <c r="B100" s="81"/>
      <c r="C100" s="45"/>
      <c r="D100" s="45"/>
      <c r="E100" s="45"/>
      <c r="F100" s="45"/>
      <c r="G100" s="45"/>
      <c r="H100" s="45"/>
      <c r="I100" s="47"/>
      <c r="J100" s="48"/>
    </row>
    <row r="101" spans="1:10" ht="15.95">
      <c r="A101" s="44"/>
      <c r="B101" s="81"/>
      <c r="C101" s="45"/>
      <c r="D101" s="45"/>
      <c r="E101" s="45"/>
      <c r="F101" s="45"/>
      <c r="G101" s="45"/>
      <c r="H101" s="45"/>
      <c r="I101" s="47"/>
      <c r="J101" s="48"/>
    </row>
    <row r="102" spans="1:10" ht="15.95">
      <c r="A102" s="44"/>
      <c r="B102" s="81"/>
      <c r="C102" s="45"/>
      <c r="D102" s="45"/>
      <c r="E102" s="45"/>
      <c r="F102" s="45"/>
      <c r="G102" s="45"/>
      <c r="H102" s="45"/>
      <c r="I102" s="47"/>
      <c r="J102" s="48"/>
    </row>
    <row r="103" spans="1:10" ht="15.95">
      <c r="A103" s="44"/>
      <c r="B103" s="81"/>
      <c r="C103" s="45"/>
      <c r="D103" s="45"/>
      <c r="E103" s="45"/>
      <c r="F103" s="45"/>
      <c r="G103" s="45"/>
      <c r="H103" s="45"/>
      <c r="I103" s="47"/>
      <c r="J103" s="48"/>
    </row>
    <row r="104" spans="1:10" ht="15.95">
      <c r="A104" s="44"/>
      <c r="B104" s="81"/>
      <c r="C104" s="45"/>
      <c r="D104" s="45"/>
      <c r="E104" s="45"/>
      <c r="F104" s="45"/>
      <c r="G104" s="45"/>
      <c r="H104" s="45"/>
      <c r="I104" s="47"/>
      <c r="J104" s="48"/>
    </row>
    <row r="105" spans="1:10" ht="15.95">
      <c r="A105" s="44"/>
      <c r="B105" s="81"/>
      <c r="C105" s="45"/>
      <c r="D105" s="45"/>
      <c r="E105" s="45"/>
      <c r="F105" s="45"/>
      <c r="G105" s="45"/>
      <c r="H105" s="45"/>
      <c r="I105" s="47"/>
      <c r="J105" s="48"/>
    </row>
    <row r="106" spans="1:10" ht="15.95">
      <c r="A106" s="44"/>
      <c r="B106" s="81"/>
      <c r="C106" s="45"/>
      <c r="D106" s="45"/>
      <c r="E106" s="45"/>
      <c r="F106" s="45"/>
      <c r="G106" s="45"/>
      <c r="H106" s="45"/>
      <c r="I106" s="47"/>
      <c r="J106" s="48"/>
    </row>
    <row r="107" spans="1:10" ht="15.95">
      <c r="A107" s="44"/>
      <c r="B107" s="81"/>
      <c r="C107" s="45"/>
      <c r="D107" s="45"/>
      <c r="E107" s="45"/>
      <c r="F107" s="45"/>
      <c r="G107" s="45"/>
      <c r="H107" s="45"/>
      <c r="I107" s="47"/>
      <c r="J107" s="48"/>
    </row>
    <row r="108" spans="1:10" ht="15.95">
      <c r="A108" s="44"/>
      <c r="B108" s="81"/>
      <c r="C108" s="45"/>
      <c r="D108" s="45"/>
      <c r="E108" s="45"/>
      <c r="F108" s="45"/>
      <c r="G108" s="45"/>
      <c r="H108" s="45"/>
      <c r="I108" s="47"/>
      <c r="J108" s="48"/>
    </row>
    <row r="109" spans="1:10" ht="15.95">
      <c r="A109" s="44"/>
      <c r="B109" s="81"/>
      <c r="C109" s="45"/>
      <c r="D109" s="45"/>
      <c r="E109" s="45"/>
      <c r="F109" s="45"/>
      <c r="G109" s="45"/>
      <c r="H109" s="45"/>
      <c r="I109" s="47"/>
      <c r="J109" s="48"/>
    </row>
    <row r="110" spans="1:10" ht="15.95">
      <c r="A110" s="44"/>
      <c r="B110" s="81"/>
      <c r="C110" s="45"/>
      <c r="D110" s="45"/>
      <c r="E110" s="45"/>
      <c r="F110" s="45"/>
      <c r="G110" s="45"/>
      <c r="H110" s="45"/>
      <c r="I110" s="47"/>
      <c r="J110" s="48"/>
    </row>
    <row r="111" spans="1:10" ht="15.95">
      <c r="A111" s="44"/>
      <c r="B111" s="81"/>
      <c r="C111" s="45"/>
      <c r="D111" s="45"/>
      <c r="E111" s="45"/>
      <c r="F111" s="45"/>
      <c r="G111" s="45"/>
      <c r="H111" s="45"/>
      <c r="I111" s="47"/>
      <c r="J111" s="48"/>
    </row>
    <row r="112" spans="1:10" ht="15.95">
      <c r="A112" s="44"/>
      <c r="B112" s="81"/>
      <c r="C112" s="45"/>
      <c r="D112" s="45"/>
      <c r="E112" s="45"/>
      <c r="F112" s="45"/>
      <c r="G112" s="45"/>
      <c r="H112" s="45"/>
      <c r="I112" s="47"/>
      <c r="J112" s="48"/>
    </row>
    <row r="113" spans="1:10" ht="15.95">
      <c r="A113" s="44"/>
      <c r="B113" s="81"/>
      <c r="C113" s="45"/>
      <c r="D113" s="45"/>
      <c r="E113" s="45"/>
      <c r="F113" s="45"/>
      <c r="G113" s="45"/>
      <c r="H113" s="45"/>
      <c r="I113" s="47"/>
      <c r="J113" s="48"/>
    </row>
    <row r="114" spans="1:10" ht="15.95">
      <c r="A114" s="44"/>
      <c r="B114" s="81"/>
      <c r="C114" s="45"/>
      <c r="D114" s="45"/>
      <c r="E114" s="45"/>
      <c r="F114" s="45"/>
      <c r="G114" s="45"/>
      <c r="H114" s="45"/>
      <c r="I114" s="47"/>
      <c r="J114" s="48"/>
    </row>
    <row r="115" spans="1:10" ht="15.95">
      <c r="A115" s="44"/>
      <c r="B115" s="81"/>
      <c r="C115" s="45"/>
      <c r="D115" s="45"/>
      <c r="E115" s="45"/>
      <c r="F115" s="45"/>
      <c r="G115" s="45"/>
      <c r="H115" s="45"/>
      <c r="I115" s="47"/>
      <c r="J115" s="48"/>
    </row>
    <row r="116" spans="1:10" ht="15.95">
      <c r="A116" s="44"/>
      <c r="B116" s="81"/>
      <c r="C116" s="45"/>
      <c r="D116" s="45"/>
      <c r="E116" s="45"/>
      <c r="F116" s="45"/>
      <c r="G116" s="45"/>
      <c r="H116" s="45"/>
      <c r="I116" s="47"/>
      <c r="J116" s="48"/>
    </row>
    <row r="117" spans="1:10" ht="15.95">
      <c r="A117" s="44"/>
      <c r="B117" s="81"/>
      <c r="C117" s="45"/>
      <c r="D117" s="45"/>
      <c r="E117" s="45"/>
      <c r="F117" s="45"/>
      <c r="G117" s="45"/>
      <c r="H117" s="45"/>
      <c r="I117" s="51"/>
      <c r="J117" s="48"/>
    </row>
    <row r="118" spans="1:10" ht="15.95">
      <c r="A118" s="44"/>
      <c r="B118" s="81"/>
      <c r="C118" s="45"/>
      <c r="D118" s="45"/>
      <c r="E118" s="45"/>
      <c r="F118" s="45"/>
      <c r="G118" s="45"/>
      <c r="H118" s="45"/>
      <c r="I118" s="51"/>
      <c r="J118" s="48"/>
    </row>
    <row r="119" spans="1:10" ht="15.95">
      <c r="A119" s="44"/>
      <c r="B119" s="81"/>
      <c r="C119" s="45"/>
      <c r="D119" s="45"/>
      <c r="E119" s="45"/>
      <c r="F119" s="45"/>
      <c r="G119" s="45"/>
      <c r="H119" s="45"/>
      <c r="I119" s="51"/>
      <c r="J119" s="48"/>
    </row>
    <row r="120" spans="1:10" ht="15.95">
      <c r="A120" s="44"/>
      <c r="B120" s="81"/>
      <c r="C120" s="45"/>
      <c r="D120" s="45"/>
      <c r="E120" s="45"/>
      <c r="F120" s="45"/>
      <c r="G120" s="45"/>
      <c r="H120" s="45"/>
      <c r="I120" s="51"/>
      <c r="J120" s="48"/>
    </row>
    <row r="121" spans="1:10" ht="15.95">
      <c r="A121" s="44"/>
      <c r="B121" s="81"/>
      <c r="C121" s="45"/>
      <c r="D121" s="45"/>
      <c r="E121" s="45"/>
      <c r="F121" s="45"/>
      <c r="G121" s="45"/>
      <c r="H121" s="45"/>
      <c r="I121" s="51"/>
      <c r="J121" s="48"/>
    </row>
    <row r="122" spans="1:10" ht="15.95">
      <c r="A122" s="44"/>
      <c r="B122" s="81"/>
      <c r="C122" s="45"/>
      <c r="D122" s="45"/>
      <c r="E122" s="45"/>
      <c r="F122" s="45"/>
      <c r="G122" s="45"/>
      <c r="H122" s="45"/>
      <c r="I122" s="51"/>
      <c r="J122" s="48"/>
    </row>
    <row r="123" spans="1:10" ht="15.95">
      <c r="A123" s="44"/>
      <c r="B123" s="81"/>
      <c r="C123" s="45"/>
      <c r="D123" s="45"/>
      <c r="E123" s="45"/>
      <c r="F123" s="45"/>
      <c r="G123" s="45"/>
      <c r="H123" s="45"/>
      <c r="I123" s="51"/>
      <c r="J123" s="48"/>
    </row>
    <row r="124" spans="1:10" ht="15.95">
      <c r="A124" s="44"/>
      <c r="B124" s="81"/>
      <c r="C124" s="45"/>
      <c r="D124" s="45"/>
      <c r="E124" s="45"/>
      <c r="F124" s="45"/>
      <c r="G124" s="45"/>
      <c r="H124" s="45"/>
      <c r="I124" s="51"/>
      <c r="J124" s="48"/>
    </row>
    <row r="125" spans="1:10" ht="15.95">
      <c r="A125" s="44"/>
      <c r="B125" s="81"/>
      <c r="C125" s="45"/>
      <c r="D125" s="45"/>
      <c r="E125" s="45"/>
      <c r="F125" s="45"/>
      <c r="G125" s="45"/>
      <c r="H125" s="45"/>
      <c r="I125" s="51"/>
      <c r="J125" s="48"/>
    </row>
    <row r="126" spans="1:10" ht="15.95">
      <c r="A126" s="44"/>
      <c r="B126" s="81"/>
      <c r="C126" s="45"/>
      <c r="D126" s="45"/>
      <c r="E126" s="45"/>
      <c r="F126" s="45"/>
      <c r="G126" s="45"/>
      <c r="H126" s="45"/>
      <c r="I126" s="51"/>
      <c r="J126" s="48"/>
    </row>
    <row r="127" spans="1:10" ht="15.95">
      <c r="A127" s="44"/>
      <c r="B127" s="81"/>
      <c r="C127" s="45"/>
      <c r="D127" s="45"/>
      <c r="E127" s="45"/>
      <c r="F127" s="45"/>
      <c r="G127" s="45"/>
      <c r="H127" s="45"/>
      <c r="I127" s="51"/>
      <c r="J127" s="48"/>
    </row>
    <row r="128" spans="1:10" ht="15.95">
      <c r="A128" s="44"/>
      <c r="B128" s="81"/>
      <c r="C128" s="45"/>
      <c r="D128" s="45"/>
      <c r="E128" s="45"/>
      <c r="F128" s="45"/>
      <c r="G128" s="45"/>
      <c r="H128" s="45"/>
      <c r="I128" s="51"/>
      <c r="J128" s="48"/>
    </row>
    <row r="129" spans="1:10" ht="15.95">
      <c r="A129" s="44"/>
      <c r="B129" s="81"/>
      <c r="C129" s="45"/>
      <c r="D129" s="45"/>
      <c r="E129" s="45"/>
      <c r="F129" s="45"/>
      <c r="G129" s="45"/>
      <c r="H129" s="45"/>
      <c r="I129" s="51"/>
      <c r="J129" s="48"/>
    </row>
    <row r="130" spans="1:10" ht="15.95">
      <c r="A130" s="44"/>
      <c r="B130" s="81"/>
      <c r="C130" s="45"/>
      <c r="D130" s="45"/>
      <c r="E130" s="45"/>
      <c r="F130" s="45"/>
      <c r="G130" s="45"/>
      <c r="H130" s="45"/>
      <c r="I130" s="51"/>
    </row>
    <row r="131" spans="1:10" ht="15.95">
      <c r="A131" s="44"/>
      <c r="B131" s="81"/>
      <c r="C131" s="45"/>
      <c r="D131" s="45"/>
      <c r="E131" s="45"/>
      <c r="F131" s="45"/>
      <c r="G131" s="45"/>
      <c r="H131" s="45"/>
      <c r="I131" s="51"/>
    </row>
    <row r="132" spans="1:10" ht="15.95">
      <c r="A132" s="44"/>
      <c r="B132" s="81"/>
      <c r="C132" s="45"/>
      <c r="D132" s="45"/>
      <c r="E132" s="45"/>
      <c r="F132" s="45"/>
      <c r="G132" s="45"/>
      <c r="H132" s="45"/>
      <c r="I132" s="51"/>
    </row>
    <row r="133" spans="1:10" ht="15.95">
      <c r="B133" s="81"/>
      <c r="C133" s="45"/>
      <c r="D133" s="45"/>
      <c r="E133" s="45"/>
      <c r="F133" s="45"/>
      <c r="G133" s="45"/>
      <c r="H133" s="45"/>
      <c r="I133" s="51"/>
    </row>
    <row r="134" spans="1:10" ht="15.95">
      <c r="B134" s="81"/>
      <c r="C134" s="45"/>
      <c r="D134" s="45"/>
      <c r="E134" s="45"/>
      <c r="F134" s="45"/>
      <c r="G134" s="45"/>
      <c r="H134" s="45"/>
      <c r="I134" s="51"/>
    </row>
    <row r="135" spans="1:10" ht="15.95">
      <c r="B135" s="81"/>
      <c r="C135" s="45"/>
      <c r="D135" s="45"/>
      <c r="E135" s="45"/>
      <c r="F135" s="45"/>
      <c r="G135" s="45"/>
      <c r="H135" s="45"/>
      <c r="I135" s="51"/>
    </row>
    <row r="136" spans="1:10" ht="15.95">
      <c r="B136" s="81"/>
      <c r="C136" s="45"/>
      <c r="D136" s="45"/>
      <c r="E136" s="45"/>
      <c r="F136" s="45"/>
      <c r="G136" s="45"/>
      <c r="H136" s="45"/>
      <c r="I136" s="51"/>
    </row>
    <row r="137" spans="1:10" ht="15.95">
      <c r="B137" s="81"/>
      <c r="C137" s="45"/>
      <c r="D137" s="45"/>
      <c r="E137" s="45"/>
      <c r="F137" s="45"/>
      <c r="G137" s="45"/>
      <c r="H137" s="45"/>
      <c r="I137" s="51"/>
    </row>
    <row r="138" spans="1:10" ht="15.95">
      <c r="B138" s="81"/>
      <c r="C138" s="45"/>
      <c r="D138" s="45"/>
      <c r="E138" s="45"/>
      <c r="F138" s="45"/>
      <c r="G138" s="45"/>
      <c r="H138" s="45"/>
      <c r="I138" s="51"/>
    </row>
    <row r="139" spans="1:10" s="23" customFormat="1" ht="15.95">
      <c r="A139" s="52"/>
      <c r="B139" s="81"/>
      <c r="C139" s="45"/>
      <c r="D139" s="45"/>
      <c r="E139" s="45"/>
      <c r="F139" s="45"/>
      <c r="G139" s="45"/>
      <c r="H139" s="45"/>
      <c r="I139" s="51"/>
      <c r="J139" s="77"/>
    </row>
    <row r="140" spans="1:10" s="23" customFormat="1" ht="15.95">
      <c r="A140" s="52"/>
      <c r="B140" s="81"/>
      <c r="C140" s="45"/>
      <c r="D140" s="45"/>
      <c r="E140" s="45"/>
      <c r="F140" s="45"/>
      <c r="G140" s="45"/>
      <c r="H140" s="45"/>
      <c r="I140" s="51"/>
      <c r="J140" s="77"/>
    </row>
    <row r="141" spans="1:10" s="23" customFormat="1" ht="15.95">
      <c r="A141" s="52"/>
      <c r="B141" s="81"/>
      <c r="C141" s="45"/>
      <c r="D141" s="45"/>
      <c r="E141" s="45"/>
      <c r="F141" s="45"/>
      <c r="G141" s="45"/>
      <c r="H141" s="45"/>
      <c r="I141" s="51"/>
      <c r="J141" s="77"/>
    </row>
    <row r="142" spans="1:10" s="23" customFormat="1" ht="15.95">
      <c r="A142" s="52"/>
      <c r="B142" s="81"/>
      <c r="C142" s="45"/>
      <c r="D142" s="45"/>
      <c r="E142" s="45"/>
      <c r="F142" s="45"/>
      <c r="G142" s="45"/>
      <c r="H142" s="45"/>
      <c r="I142" s="51"/>
      <c r="J142" s="77"/>
    </row>
    <row r="143" spans="1:10" s="23" customFormat="1" ht="15.95">
      <c r="A143" s="52"/>
      <c r="B143" s="81"/>
      <c r="C143" s="45"/>
      <c r="D143" s="45"/>
      <c r="E143" s="45"/>
      <c r="F143" s="45"/>
      <c r="G143" s="45"/>
      <c r="H143" s="45"/>
      <c r="I143" s="51"/>
      <c r="J143" s="77"/>
    </row>
    <row r="144" spans="1:10" s="23" customFormat="1" ht="15.95">
      <c r="A144" s="52"/>
      <c r="B144" s="81"/>
      <c r="C144" s="45"/>
      <c r="D144" s="45"/>
      <c r="E144" s="45"/>
      <c r="F144" s="45"/>
      <c r="G144" s="45"/>
      <c r="H144" s="45"/>
      <c r="I144" s="51"/>
      <c r="J144" s="77"/>
    </row>
    <row r="145" spans="1:10" s="23" customFormat="1" ht="15.95">
      <c r="A145" s="52"/>
      <c r="B145" s="81"/>
      <c r="C145" s="45"/>
      <c r="D145" s="45"/>
      <c r="E145" s="45"/>
      <c r="F145" s="45"/>
      <c r="G145" s="45"/>
      <c r="H145" s="45"/>
      <c r="I145" s="51"/>
      <c r="J145" s="77"/>
    </row>
    <row r="146" spans="1:10" s="23" customFormat="1" ht="15.95">
      <c r="A146" s="52"/>
      <c r="B146" s="81"/>
      <c r="C146" s="45"/>
      <c r="D146" s="45"/>
      <c r="E146" s="45"/>
      <c r="F146" s="45"/>
      <c r="G146" s="45"/>
      <c r="H146" s="45"/>
      <c r="I146" s="51"/>
      <c r="J146" s="77"/>
    </row>
    <row r="147" spans="1:10" s="22" customFormat="1" ht="17.100000000000001" customHeight="1">
      <c r="A147" s="53"/>
      <c r="B147" s="81"/>
      <c r="C147" s="54"/>
      <c r="D147" s="54"/>
      <c r="E147" s="54"/>
      <c r="F147" s="45"/>
      <c r="G147" s="45"/>
      <c r="H147" s="45"/>
      <c r="I147" s="55"/>
      <c r="J147" s="77"/>
    </row>
    <row r="148" spans="1:10" s="22" customFormat="1" ht="15.95">
      <c r="A148" s="53"/>
      <c r="B148" s="81"/>
      <c r="C148" s="54"/>
      <c r="D148" s="54"/>
      <c r="E148" s="54"/>
      <c r="F148" s="54"/>
      <c r="G148" s="54"/>
      <c r="H148" s="45"/>
      <c r="I148" s="55"/>
      <c r="J148" s="77"/>
    </row>
    <row r="149" spans="1:10" s="22" customFormat="1" ht="15.95">
      <c r="A149" s="53"/>
      <c r="B149" s="81"/>
      <c r="C149" s="54"/>
      <c r="D149" s="54"/>
      <c r="E149" s="54"/>
      <c r="F149" s="54"/>
      <c r="G149" s="54"/>
      <c r="H149" s="54"/>
      <c r="I149" s="55"/>
      <c r="J149" s="77"/>
    </row>
    <row r="150" spans="1:10" s="22" customFormat="1" ht="15.95">
      <c r="A150" s="53"/>
      <c r="B150" s="81"/>
      <c r="C150" s="54"/>
      <c r="D150" s="54"/>
      <c r="E150" s="54"/>
      <c r="F150" s="54"/>
      <c r="G150" s="54"/>
      <c r="H150" s="54"/>
      <c r="I150" s="55"/>
      <c r="J150" s="77"/>
    </row>
    <row r="151" spans="1:10" s="23" customFormat="1" ht="15.95">
      <c r="A151" s="52"/>
      <c r="B151" s="81"/>
      <c r="C151" s="56"/>
      <c r="D151" s="56"/>
      <c r="E151" s="56"/>
      <c r="F151" s="54"/>
      <c r="G151" s="54"/>
      <c r="H151" s="54"/>
      <c r="I151" s="55"/>
      <c r="J151" s="77"/>
    </row>
    <row r="152" spans="1:10" s="22" customFormat="1" ht="15.95">
      <c r="A152" s="53"/>
      <c r="B152" s="81"/>
      <c r="C152" s="54"/>
      <c r="D152" s="54"/>
      <c r="E152" s="54"/>
      <c r="F152" s="56"/>
      <c r="G152" s="56"/>
      <c r="H152" s="54"/>
      <c r="I152" s="55"/>
      <c r="J152" s="77"/>
    </row>
    <row r="153" spans="1:10" s="22" customFormat="1" ht="15.95">
      <c r="A153" s="53"/>
      <c r="B153" s="81"/>
      <c r="C153" s="54"/>
      <c r="D153" s="54"/>
      <c r="E153" s="54"/>
      <c r="F153" s="54"/>
      <c r="G153" s="54"/>
      <c r="H153" s="56"/>
      <c r="I153" s="55"/>
      <c r="J153" s="77"/>
    </row>
    <row r="154" spans="1:10" s="23" customFormat="1" ht="15.95">
      <c r="A154" s="52"/>
      <c r="B154" s="81"/>
      <c r="C154" s="56"/>
      <c r="D154" s="56"/>
      <c r="E154" s="56"/>
      <c r="F154" s="54"/>
      <c r="G154" s="54"/>
      <c r="H154" s="54"/>
      <c r="I154" s="55"/>
      <c r="J154" s="77"/>
    </row>
    <row r="155" spans="1:10" s="23" customFormat="1" ht="15.95">
      <c r="A155" s="52"/>
      <c r="B155" s="81"/>
      <c r="C155" s="56"/>
      <c r="D155" s="56"/>
      <c r="E155" s="56"/>
      <c r="F155" s="56"/>
      <c r="G155" s="56"/>
      <c r="H155" s="54"/>
      <c r="I155" s="55"/>
      <c r="J155" s="77"/>
    </row>
    <row r="156" spans="1:10" s="23" customFormat="1" ht="15.95">
      <c r="A156" s="52"/>
      <c r="B156" s="81"/>
      <c r="C156" s="56"/>
      <c r="D156" s="56"/>
      <c r="E156" s="56"/>
      <c r="F156" s="56"/>
      <c r="G156" s="56"/>
      <c r="H156" s="56"/>
      <c r="I156" s="55"/>
      <c r="J156" s="77"/>
    </row>
    <row r="157" spans="1:10" s="23" customFormat="1" ht="15.95">
      <c r="A157" s="52"/>
      <c r="B157" s="81"/>
      <c r="C157" s="56"/>
      <c r="D157" s="56"/>
      <c r="E157" s="56"/>
      <c r="F157" s="56"/>
      <c r="G157" s="56"/>
      <c r="H157" s="56"/>
      <c r="I157" s="55"/>
      <c r="J157" s="77"/>
    </row>
    <row r="158" spans="1:10" s="22" customFormat="1" ht="15.95">
      <c r="A158" s="53"/>
      <c r="B158" s="81"/>
      <c r="C158" s="54"/>
      <c r="D158" s="54"/>
      <c r="E158" s="54"/>
      <c r="F158" s="56"/>
      <c r="G158" s="56"/>
      <c r="H158" s="56"/>
      <c r="I158" s="55"/>
      <c r="J158" s="77"/>
    </row>
    <row r="159" spans="1:10" s="22" customFormat="1" ht="15.95">
      <c r="A159" s="53"/>
      <c r="B159" s="81"/>
      <c r="C159" s="54"/>
      <c r="D159" s="54"/>
      <c r="E159" s="54"/>
      <c r="F159" s="54"/>
      <c r="G159" s="54"/>
      <c r="H159" s="56"/>
      <c r="I159" s="55"/>
      <c r="J159" s="77"/>
    </row>
    <row r="160" spans="1:10" s="22" customFormat="1" ht="15.95">
      <c r="A160" s="53"/>
      <c r="B160" s="81"/>
      <c r="C160" s="54"/>
      <c r="D160" s="54"/>
      <c r="E160" s="54"/>
      <c r="F160" s="54"/>
      <c r="G160" s="54"/>
      <c r="H160" s="54"/>
      <c r="I160" s="55"/>
      <c r="J160" s="77"/>
    </row>
    <row r="161" spans="1:10" s="22" customFormat="1" ht="15.95">
      <c r="A161" s="53"/>
      <c r="B161" s="81"/>
      <c r="C161" s="54"/>
      <c r="D161" s="54"/>
      <c r="E161" s="54"/>
      <c r="F161" s="54"/>
      <c r="G161" s="54"/>
      <c r="H161" s="54"/>
      <c r="I161" s="55"/>
      <c r="J161" s="77"/>
    </row>
    <row r="162" spans="1:10" s="22" customFormat="1" ht="15.95">
      <c r="A162" s="53"/>
      <c r="B162" s="81"/>
      <c r="C162" s="54"/>
      <c r="D162" s="54"/>
      <c r="E162" s="54"/>
      <c r="F162" s="54"/>
      <c r="G162" s="54"/>
      <c r="H162" s="54"/>
      <c r="I162" s="55"/>
      <c r="J162" s="77"/>
    </row>
    <row r="163" spans="1:10" s="22" customFormat="1" ht="15.95">
      <c r="A163" s="53"/>
      <c r="B163" s="81"/>
      <c r="C163" s="54"/>
      <c r="D163" s="54"/>
      <c r="E163" s="54"/>
      <c r="F163" s="54"/>
      <c r="G163" s="54"/>
      <c r="H163" s="54"/>
      <c r="I163" s="55"/>
      <c r="J163" s="77"/>
    </row>
    <row r="164" spans="1:10" s="22" customFormat="1" ht="15.95">
      <c r="A164" s="53"/>
      <c r="B164" s="81"/>
      <c r="C164" s="54"/>
      <c r="D164" s="54"/>
      <c r="E164" s="54"/>
      <c r="F164" s="54"/>
      <c r="G164" s="54"/>
      <c r="H164" s="54"/>
      <c r="I164" s="55"/>
      <c r="J164" s="77"/>
    </row>
    <row r="165" spans="1:10" s="22" customFormat="1" ht="15.95">
      <c r="A165" s="53"/>
      <c r="B165" s="81"/>
      <c r="C165" s="54"/>
      <c r="D165" s="54"/>
      <c r="E165" s="54"/>
      <c r="F165" s="54"/>
      <c r="G165" s="54"/>
      <c r="H165" s="54"/>
      <c r="I165" s="55"/>
      <c r="J165" s="77"/>
    </row>
    <row r="166" spans="1:10" s="22" customFormat="1" ht="15.95">
      <c r="A166" s="53"/>
      <c r="B166" s="81"/>
      <c r="C166" s="54"/>
      <c r="D166" s="54"/>
      <c r="E166" s="54"/>
      <c r="F166" s="54"/>
      <c r="G166" s="54"/>
      <c r="H166" s="54"/>
      <c r="I166" s="55"/>
      <c r="J166" s="77"/>
    </row>
    <row r="167" spans="1:10" s="22" customFormat="1" ht="15.95">
      <c r="A167" s="53"/>
      <c r="B167" s="81"/>
      <c r="C167" s="54"/>
      <c r="D167" s="54"/>
      <c r="E167" s="54"/>
      <c r="F167" s="54"/>
      <c r="G167" s="54"/>
      <c r="H167" s="54"/>
      <c r="I167" s="55"/>
      <c r="J167" s="77"/>
    </row>
    <row r="168" spans="1:10" s="22" customFormat="1" ht="15.95">
      <c r="A168" s="53"/>
      <c r="B168" s="81"/>
      <c r="C168" s="54"/>
      <c r="D168" s="54"/>
      <c r="E168" s="54"/>
      <c r="F168" s="54"/>
      <c r="G168" s="54"/>
      <c r="H168" s="54"/>
      <c r="I168" s="55"/>
      <c r="J168" s="77"/>
    </row>
    <row r="169" spans="1:10" s="22" customFormat="1" ht="15.95">
      <c r="A169" s="53"/>
      <c r="B169" s="81"/>
      <c r="C169" s="54"/>
      <c r="D169" s="54"/>
      <c r="E169" s="54"/>
      <c r="F169" s="54"/>
      <c r="G169" s="54"/>
      <c r="H169" s="54"/>
      <c r="I169" s="55"/>
      <c r="J169" s="77"/>
    </row>
    <row r="170" spans="1:10" s="22" customFormat="1" ht="15.95">
      <c r="A170" s="53"/>
      <c r="B170" s="81"/>
      <c r="C170" s="54"/>
      <c r="D170" s="54"/>
      <c r="E170" s="54"/>
      <c r="F170" s="54"/>
      <c r="G170" s="54"/>
      <c r="H170" s="54"/>
      <c r="I170" s="55"/>
      <c r="J170" s="77"/>
    </row>
    <row r="171" spans="1:10" s="22" customFormat="1" ht="15.95">
      <c r="A171" s="53"/>
      <c r="B171" s="81"/>
      <c r="C171" s="54"/>
      <c r="D171" s="54"/>
      <c r="E171" s="54"/>
      <c r="F171" s="54"/>
      <c r="G171" s="54"/>
      <c r="H171" s="54"/>
      <c r="I171" s="55"/>
      <c r="J171" s="77"/>
    </row>
    <row r="172" spans="1:10" s="22" customFormat="1" ht="15.95">
      <c r="A172" s="53"/>
      <c r="B172" s="81"/>
      <c r="C172" s="54"/>
      <c r="D172" s="54"/>
      <c r="E172" s="54"/>
      <c r="F172" s="54"/>
      <c r="G172" s="54"/>
      <c r="H172" s="54"/>
      <c r="I172" s="55"/>
      <c r="J172" s="77"/>
    </row>
    <row r="173" spans="1:10" s="22" customFormat="1" ht="15.95">
      <c r="A173" s="53"/>
      <c r="B173" s="81"/>
      <c r="C173" s="54"/>
      <c r="D173" s="54"/>
      <c r="E173" s="54"/>
      <c r="F173" s="54"/>
      <c r="G173" s="54"/>
      <c r="H173" s="54"/>
      <c r="I173" s="55"/>
      <c r="J173" s="77"/>
    </row>
    <row r="174" spans="1:10" s="22" customFormat="1" ht="15.95">
      <c r="A174" s="53"/>
      <c r="B174" s="81"/>
      <c r="C174" s="54"/>
      <c r="D174" s="54"/>
      <c r="E174" s="54"/>
      <c r="F174" s="54"/>
      <c r="G174" s="54"/>
      <c r="H174" s="54"/>
      <c r="I174" s="55"/>
      <c r="J174" s="77"/>
    </row>
    <row r="175" spans="1:10" s="22" customFormat="1" ht="15.95">
      <c r="A175" s="53"/>
      <c r="B175" s="81"/>
      <c r="C175" s="54"/>
      <c r="D175" s="54"/>
      <c r="E175" s="54"/>
      <c r="F175" s="54"/>
      <c r="G175" s="54"/>
      <c r="H175" s="54"/>
      <c r="I175" s="55"/>
      <c r="J175" s="77"/>
    </row>
    <row r="176" spans="1:10" s="22" customFormat="1" ht="15.95">
      <c r="A176" s="53"/>
      <c r="B176" s="81"/>
      <c r="C176" s="54"/>
      <c r="D176" s="54"/>
      <c r="E176" s="54"/>
      <c r="F176" s="54"/>
      <c r="G176" s="54"/>
      <c r="H176" s="54"/>
      <c r="I176" s="55"/>
      <c r="J176" s="77"/>
    </row>
    <row r="177" spans="1:10" s="22" customFormat="1" ht="15.95">
      <c r="A177" s="53"/>
      <c r="B177" s="81"/>
      <c r="C177" s="54"/>
      <c r="D177" s="54"/>
      <c r="E177" s="54"/>
      <c r="F177" s="54"/>
      <c r="G177" s="54"/>
      <c r="H177" s="54"/>
      <c r="I177" s="55"/>
      <c r="J177" s="77"/>
    </row>
    <row r="178" spans="1:10" s="22" customFormat="1" ht="15.95">
      <c r="A178" s="53"/>
      <c r="B178" s="81"/>
      <c r="C178" s="54"/>
      <c r="D178" s="54"/>
      <c r="E178" s="54"/>
      <c r="F178" s="54"/>
      <c r="G178" s="54"/>
      <c r="H178" s="54"/>
      <c r="I178" s="55"/>
      <c r="J178" s="77"/>
    </row>
    <row r="179" spans="1:10" s="22" customFormat="1" ht="15.95">
      <c r="A179" s="53"/>
      <c r="B179" s="81"/>
      <c r="C179" s="54"/>
      <c r="D179" s="54"/>
      <c r="E179" s="54"/>
      <c r="F179" s="54"/>
      <c r="G179" s="54"/>
      <c r="H179" s="54"/>
      <c r="I179" s="55"/>
      <c r="J179" s="77"/>
    </row>
    <row r="180" spans="1:10" s="22" customFormat="1" ht="15.95">
      <c r="A180" s="53"/>
      <c r="B180" s="81"/>
      <c r="C180" s="54"/>
      <c r="D180" s="54"/>
      <c r="E180" s="54"/>
      <c r="F180" s="54"/>
      <c r="G180" s="54"/>
      <c r="H180" s="54"/>
      <c r="I180" s="55"/>
      <c r="J180" s="77"/>
    </row>
    <row r="181" spans="1:10" s="22" customFormat="1" ht="15.95">
      <c r="A181" s="53"/>
      <c r="B181" s="81"/>
      <c r="C181" s="54"/>
      <c r="D181" s="54"/>
      <c r="E181" s="54"/>
      <c r="F181" s="54"/>
      <c r="G181" s="54"/>
      <c r="H181" s="54"/>
      <c r="I181" s="55"/>
      <c r="J181" s="77"/>
    </row>
    <row r="182" spans="1:10" s="22" customFormat="1" ht="15.95">
      <c r="A182" s="53"/>
      <c r="B182" s="81"/>
      <c r="C182" s="54"/>
      <c r="D182" s="54"/>
      <c r="E182" s="54"/>
      <c r="F182" s="54"/>
      <c r="G182" s="54"/>
      <c r="H182" s="54"/>
      <c r="I182" s="55"/>
      <c r="J182" s="77"/>
    </row>
    <row r="183" spans="1:10" s="22" customFormat="1" ht="15.95">
      <c r="A183" s="53"/>
      <c r="B183" s="81"/>
      <c r="C183" s="54"/>
      <c r="D183" s="54"/>
      <c r="E183" s="54"/>
      <c r="F183" s="54"/>
      <c r="G183" s="54"/>
      <c r="H183" s="54"/>
      <c r="I183" s="55"/>
      <c r="J183" s="77"/>
    </row>
    <row r="184" spans="1:10" s="22" customFormat="1" ht="15.95">
      <c r="A184" s="53"/>
      <c r="B184" s="81"/>
      <c r="C184" s="54"/>
      <c r="D184" s="54"/>
      <c r="E184" s="54"/>
      <c r="F184" s="54"/>
      <c r="G184" s="54"/>
      <c r="H184" s="54"/>
      <c r="I184" s="55"/>
      <c r="J184" s="77"/>
    </row>
    <row r="185" spans="1:10" s="22" customFormat="1" ht="15.95">
      <c r="A185" s="53"/>
      <c r="B185" s="81"/>
      <c r="C185" s="54"/>
      <c r="D185" s="54"/>
      <c r="E185" s="54"/>
      <c r="F185" s="54"/>
      <c r="G185" s="54"/>
      <c r="H185" s="54"/>
      <c r="I185" s="55"/>
      <c r="J185" s="77"/>
    </row>
    <row r="186" spans="1:10" ht="15" customHeight="1">
      <c r="B186" s="81"/>
      <c r="F186" s="54"/>
      <c r="G186" s="54"/>
      <c r="H186" s="54"/>
    </row>
    <row r="187" spans="1:10" ht="15.95">
      <c r="B187" s="81"/>
      <c r="H187" s="54"/>
    </row>
    <row r="188" spans="1:10" ht="15.95">
      <c r="B188" s="81"/>
    </row>
    <row r="189" spans="1:10" ht="15.95">
      <c r="B189" s="81"/>
    </row>
    <row r="190" spans="1:10" ht="15.95">
      <c r="B190" s="81"/>
    </row>
    <row r="191" spans="1:10" ht="15.95">
      <c r="B191" s="81"/>
    </row>
    <row r="192" spans="1:10" ht="15.95">
      <c r="B192" s="81"/>
    </row>
    <row r="193" spans="2:2" ht="15.95">
      <c r="B193" s="81"/>
    </row>
    <row r="194" spans="2:2" ht="15.95">
      <c r="B194" s="81"/>
    </row>
    <row r="195" spans="2:2" ht="15.95">
      <c r="B195" s="81"/>
    </row>
    <row r="196" spans="2:2" ht="15.95">
      <c r="B196" s="81"/>
    </row>
    <row r="197" spans="2:2" ht="15.95">
      <c r="B197" s="81"/>
    </row>
    <row r="198" spans="2:2" ht="15.95">
      <c r="B198" s="81"/>
    </row>
    <row r="199" spans="2:2" ht="15.95">
      <c r="B199" s="81"/>
    </row>
    <row r="200" spans="2:2" ht="15.95">
      <c r="B200" s="81"/>
    </row>
    <row r="201" spans="2:2" ht="15.95">
      <c r="B201" s="81"/>
    </row>
    <row r="202" spans="2:2" ht="15.95">
      <c r="B202" s="81"/>
    </row>
    <row r="203" spans="2:2" ht="15.95">
      <c r="B203" s="81"/>
    </row>
    <row r="204" spans="2:2" ht="15.95">
      <c r="B204" s="81"/>
    </row>
    <row r="205" spans="2:2" ht="15.95">
      <c r="B205" s="81"/>
    </row>
    <row r="206" spans="2:2" ht="15.95">
      <c r="B206" s="81"/>
    </row>
    <row r="207" spans="2:2" ht="15.95">
      <c r="B207" s="81"/>
    </row>
    <row r="208" spans="2:2" ht="15.95">
      <c r="B208" s="81"/>
    </row>
    <row r="209" spans="2:2" ht="15.95">
      <c r="B209" s="81"/>
    </row>
    <row r="210" spans="2:2" ht="15.95">
      <c r="B210" s="81"/>
    </row>
    <row r="211" spans="2:2" ht="15.95">
      <c r="B211" s="81"/>
    </row>
    <row r="212" spans="2:2" ht="15.95">
      <c r="B212" s="81"/>
    </row>
    <row r="213" spans="2:2" ht="15.95">
      <c r="B213" s="81"/>
    </row>
    <row r="214" spans="2:2" ht="15.95">
      <c r="B214" s="81"/>
    </row>
    <row r="215" spans="2:2" ht="15.95">
      <c r="B215" s="81"/>
    </row>
    <row r="216" spans="2:2" ht="15.95">
      <c r="B216" s="81"/>
    </row>
    <row r="217" spans="2:2" ht="15.95">
      <c r="B217" s="81"/>
    </row>
    <row r="218" spans="2:2" ht="15.95">
      <c r="B218" s="81"/>
    </row>
    <row r="219" spans="2:2" ht="15.95">
      <c r="B219" s="81"/>
    </row>
    <row r="220" spans="2:2" ht="15.95">
      <c r="B220" s="81"/>
    </row>
    <row r="221" spans="2:2" ht="15.95">
      <c r="B221" s="81"/>
    </row>
    <row r="222" spans="2:2" ht="15.95">
      <c r="B222" s="81"/>
    </row>
    <row r="223" spans="2:2" ht="15.95">
      <c r="B223" s="81"/>
    </row>
    <row r="224" spans="2:2" ht="15.95">
      <c r="B224" s="81"/>
    </row>
    <row r="225" spans="2:2" ht="15.95">
      <c r="B225" s="81"/>
    </row>
    <row r="226" spans="2:2" ht="15.95">
      <c r="B226" s="81"/>
    </row>
    <row r="227" spans="2:2" ht="15.95">
      <c r="B227" s="81"/>
    </row>
    <row r="228" spans="2:2" ht="15.95">
      <c r="B228" s="81"/>
    </row>
    <row r="229" spans="2:2" ht="15.95">
      <c r="B229" s="81"/>
    </row>
    <row r="230" spans="2:2" ht="15.95">
      <c r="B230" s="81"/>
    </row>
    <row r="231" spans="2:2" ht="15.95">
      <c r="B231" s="81"/>
    </row>
    <row r="232" spans="2:2" ht="15.95">
      <c r="B232" s="81"/>
    </row>
    <row r="233" spans="2:2" ht="15.95">
      <c r="B233" s="81"/>
    </row>
    <row r="234" spans="2:2" ht="15.95">
      <c r="B234" s="81"/>
    </row>
    <row r="235" spans="2:2" ht="15.95">
      <c r="B235" s="81"/>
    </row>
    <row r="236" spans="2:2" ht="15.95">
      <c r="B236" s="81"/>
    </row>
    <row r="237" spans="2:2" ht="15.95">
      <c r="B237" s="81"/>
    </row>
    <row r="238" spans="2:2" ht="15.95">
      <c r="B238" s="81"/>
    </row>
    <row r="239" spans="2:2" ht="15.95">
      <c r="B239" s="81"/>
    </row>
    <row r="240" spans="2:2" ht="15.95">
      <c r="B240" s="81"/>
    </row>
    <row r="241" spans="2:2" ht="15.95">
      <c r="B241" s="81"/>
    </row>
    <row r="242" spans="2:2" ht="15.95">
      <c r="B242" s="81"/>
    </row>
    <row r="243" spans="2:2" ht="15.95">
      <c r="B243" s="81"/>
    </row>
    <row r="244" spans="2:2" ht="15.95">
      <c r="B244" s="81"/>
    </row>
    <row r="245" spans="2:2" ht="15.95">
      <c r="B245" s="81"/>
    </row>
    <row r="246" spans="2:2" ht="15.95">
      <c r="B246" s="81"/>
    </row>
    <row r="247" spans="2:2" ht="15.95">
      <c r="B247" s="81"/>
    </row>
    <row r="248" spans="2:2" ht="15.95">
      <c r="B248" s="81"/>
    </row>
    <row r="249" spans="2:2" ht="15.95">
      <c r="B249" s="81"/>
    </row>
    <row r="250" spans="2:2" ht="15.95">
      <c r="B250" s="81"/>
    </row>
    <row r="251" spans="2:2" ht="15.95">
      <c r="B251" s="81"/>
    </row>
    <row r="252" spans="2:2" ht="15.95">
      <c r="B252" s="81"/>
    </row>
    <row r="253" spans="2:2" ht="15.95">
      <c r="B253" s="81"/>
    </row>
    <row r="254" spans="2:2" ht="15.95">
      <c r="B254" s="81"/>
    </row>
    <row r="255" spans="2:2" ht="15.95">
      <c r="B255" s="81"/>
    </row>
    <row r="256" spans="2:2" ht="15.95">
      <c r="B256" s="81"/>
    </row>
    <row r="257" spans="2:2" ht="15.95">
      <c r="B257" s="81"/>
    </row>
    <row r="258" spans="2:2" ht="15.95">
      <c r="B258" s="81"/>
    </row>
    <row r="259" spans="2:2" ht="15.95">
      <c r="B259" s="81"/>
    </row>
    <row r="260" spans="2:2" ht="15.95">
      <c r="B260" s="81"/>
    </row>
    <row r="261" spans="2:2" ht="15.95">
      <c r="B261" s="81"/>
    </row>
    <row r="262" spans="2:2" ht="15.95">
      <c r="B262" s="81"/>
    </row>
    <row r="263" spans="2:2" ht="15.95">
      <c r="B263" s="81"/>
    </row>
    <row r="264" spans="2:2" ht="15.95">
      <c r="B264" s="81"/>
    </row>
    <row r="265" spans="2:2" ht="15.95">
      <c r="B265" s="81"/>
    </row>
    <row r="266" spans="2:2" ht="15.95">
      <c r="B266" s="81"/>
    </row>
    <row r="267" spans="2:2" ht="15.95">
      <c r="B267" s="81"/>
    </row>
    <row r="268" spans="2:2" ht="15.95">
      <c r="B268" s="81"/>
    </row>
    <row r="269" spans="2:2" ht="15.95">
      <c r="B269" s="81"/>
    </row>
    <row r="270" spans="2:2" ht="15.95">
      <c r="B270" s="81"/>
    </row>
    <row r="271" spans="2:2" ht="15.95">
      <c r="B271" s="81"/>
    </row>
    <row r="272" spans="2:2" ht="15.95">
      <c r="B272" s="81"/>
    </row>
    <row r="273" spans="2:2" ht="15.95">
      <c r="B273" s="81"/>
    </row>
    <row r="274" spans="2:2" ht="15.95">
      <c r="B274" s="81"/>
    </row>
    <row r="275" spans="2:2" ht="15.95">
      <c r="B275" s="81"/>
    </row>
    <row r="276" spans="2:2" ht="15.95">
      <c r="B276" s="81"/>
    </row>
    <row r="277" spans="2:2" ht="15.95">
      <c r="B277" s="81"/>
    </row>
    <row r="278" spans="2:2" ht="15.95">
      <c r="B278" s="81"/>
    </row>
    <row r="279" spans="2:2" ht="15.95">
      <c r="B279" s="81"/>
    </row>
    <row r="280" spans="2:2" ht="15.95">
      <c r="B280" s="81"/>
    </row>
    <row r="281" spans="2:2" ht="15.95">
      <c r="B281" s="81"/>
    </row>
    <row r="282" spans="2:2" ht="15.95">
      <c r="B282" s="81"/>
    </row>
    <row r="283" spans="2:2" ht="15.95">
      <c r="B283" s="81"/>
    </row>
    <row r="284" spans="2:2" ht="15.95">
      <c r="B284" s="81"/>
    </row>
    <row r="285" spans="2:2" ht="15.95">
      <c r="B285" s="81"/>
    </row>
    <row r="286" spans="2:2" ht="15.95">
      <c r="B286" s="81"/>
    </row>
    <row r="287" spans="2:2" ht="15.95">
      <c r="B287" s="81"/>
    </row>
    <row r="288" spans="2:2" ht="15.95">
      <c r="B288" s="81"/>
    </row>
    <row r="289" spans="2:2" ht="15.95">
      <c r="B289" s="81"/>
    </row>
    <row r="290" spans="2:2" ht="15.95">
      <c r="B290" s="81"/>
    </row>
    <row r="291" spans="2:2" ht="15.95">
      <c r="B291" s="81"/>
    </row>
    <row r="292" spans="2:2" ht="15.95">
      <c r="B292" s="81"/>
    </row>
    <row r="293" spans="2:2" ht="15.95">
      <c r="B293" s="81"/>
    </row>
    <row r="294" spans="2:2" ht="15.95">
      <c r="B294" s="81"/>
    </row>
    <row r="295" spans="2:2" ht="15.95">
      <c r="B295" s="81"/>
    </row>
    <row r="296" spans="2:2" ht="15.95">
      <c r="B296" s="81"/>
    </row>
    <row r="297" spans="2:2" ht="15.95">
      <c r="B297" s="81"/>
    </row>
    <row r="298" spans="2:2" ht="15.95">
      <c r="B298" s="81"/>
    </row>
    <row r="299" spans="2:2" ht="15.95">
      <c r="B299" s="81"/>
    </row>
    <row r="300" spans="2:2" ht="15.95">
      <c r="B300" s="81"/>
    </row>
    <row r="301" spans="2:2" ht="15.95">
      <c r="B301" s="81"/>
    </row>
    <row r="302" spans="2:2" ht="15.95">
      <c r="B302" s="81"/>
    </row>
    <row r="303" spans="2:2" ht="15.95">
      <c r="B303" s="81"/>
    </row>
    <row r="304" spans="2:2" ht="15.95">
      <c r="B304" s="81"/>
    </row>
    <row r="305" spans="2:2" ht="15.95">
      <c r="B305" s="81"/>
    </row>
    <row r="306" spans="2:2" ht="15.95">
      <c r="B306" s="81"/>
    </row>
    <row r="307" spans="2:2" ht="15.95">
      <c r="B307" s="81"/>
    </row>
    <row r="308" spans="2:2" ht="15.95">
      <c r="B308" s="81"/>
    </row>
    <row r="309" spans="2:2" ht="15.95">
      <c r="B309" s="81"/>
    </row>
    <row r="310" spans="2:2" ht="15.95">
      <c r="B310" s="81"/>
    </row>
    <row r="311" spans="2:2" ht="15.95">
      <c r="B311" s="81"/>
    </row>
    <row r="312" spans="2:2" ht="15.95">
      <c r="B312" s="81"/>
    </row>
    <row r="313" spans="2:2" ht="15.95">
      <c r="B313" s="81"/>
    </row>
    <row r="314" spans="2:2" ht="15.95">
      <c r="B314" s="81"/>
    </row>
    <row r="315" spans="2:2" ht="15.95">
      <c r="B315" s="81"/>
    </row>
    <row r="316" spans="2:2" ht="15.95">
      <c r="B316" s="81"/>
    </row>
    <row r="317" spans="2:2" ht="15.95">
      <c r="B317" s="81"/>
    </row>
    <row r="318" spans="2:2" ht="15.95">
      <c r="B318" s="81"/>
    </row>
    <row r="319" spans="2:2" ht="15.95">
      <c r="B319" s="81"/>
    </row>
    <row r="320" spans="2:2" ht="15.95">
      <c r="B320" s="81"/>
    </row>
    <row r="321" spans="2:2" ht="15.95">
      <c r="B321" s="81"/>
    </row>
    <row r="322" spans="2:2" ht="15.95">
      <c r="B322" s="81"/>
    </row>
    <row r="323" spans="2:2" ht="15.95">
      <c r="B323" s="81"/>
    </row>
    <row r="324" spans="2:2" ht="15.95">
      <c r="B324" s="81"/>
    </row>
    <row r="325" spans="2:2" ht="15.95">
      <c r="B325" s="81"/>
    </row>
    <row r="326" spans="2:2" ht="15.95">
      <c r="B326" s="81"/>
    </row>
    <row r="327" spans="2:2" ht="15.95">
      <c r="B327" s="81"/>
    </row>
    <row r="328" spans="2:2" ht="15.95">
      <c r="B328" s="81"/>
    </row>
    <row r="329" spans="2:2" ht="15.95">
      <c r="B329" s="81"/>
    </row>
    <row r="330" spans="2:2" ht="15.95">
      <c r="B330" s="81"/>
    </row>
    <row r="331" spans="2:2" ht="15.95">
      <c r="B331" s="81"/>
    </row>
    <row r="332" spans="2:2" ht="15.95">
      <c r="B332" s="81"/>
    </row>
    <row r="333" spans="2:2" ht="15.95">
      <c r="B333" s="81"/>
    </row>
    <row r="334" spans="2:2" ht="15.95">
      <c r="B334" s="81"/>
    </row>
    <row r="335" spans="2:2" ht="15.95">
      <c r="B335" s="81"/>
    </row>
    <row r="336" spans="2:2" ht="15.95">
      <c r="B336" s="81"/>
    </row>
    <row r="337" spans="2:2" ht="15.95">
      <c r="B337" s="81"/>
    </row>
    <row r="338" spans="2:2" ht="15.95">
      <c r="B338" s="81"/>
    </row>
    <row r="339" spans="2:2" ht="15.95">
      <c r="B339" s="81"/>
    </row>
    <row r="340" spans="2:2" ht="15.95">
      <c r="B340" s="81"/>
    </row>
    <row r="341" spans="2:2" ht="15.95">
      <c r="B341" s="81"/>
    </row>
    <row r="342" spans="2:2" ht="15.95">
      <c r="B342" s="81"/>
    </row>
    <row r="343" spans="2:2" ht="15.95">
      <c r="B343" s="81"/>
    </row>
    <row r="344" spans="2:2" ht="15.95">
      <c r="B344" s="81"/>
    </row>
    <row r="345" spans="2:2" ht="15.95">
      <c r="B345" s="81"/>
    </row>
    <row r="346" spans="2:2" ht="15.95">
      <c r="B346" s="81"/>
    </row>
    <row r="347" spans="2:2" ht="15.95">
      <c r="B347" s="81"/>
    </row>
    <row r="348" spans="2:2" ht="15.95">
      <c r="B348" s="81"/>
    </row>
    <row r="349" spans="2:2" ht="15.95">
      <c r="B349" s="81"/>
    </row>
    <row r="350" spans="2:2" ht="15.95">
      <c r="B350" s="81"/>
    </row>
    <row r="351" spans="2:2" ht="15.95">
      <c r="B351" s="81"/>
    </row>
    <row r="352" spans="2:2" ht="15.95">
      <c r="B352" s="81"/>
    </row>
    <row r="353" spans="2:2" ht="15.95">
      <c r="B353" s="81"/>
    </row>
    <row r="354" spans="2:2" ht="15.95">
      <c r="B354" s="81"/>
    </row>
    <row r="355" spans="2:2" ht="15.95">
      <c r="B355" s="81"/>
    </row>
    <row r="356" spans="2:2" ht="15.95">
      <c r="B356" s="81"/>
    </row>
    <row r="357" spans="2:2" ht="15.95">
      <c r="B357" s="81"/>
    </row>
    <row r="358" spans="2:2" ht="15.95">
      <c r="B358" s="81"/>
    </row>
    <row r="359" spans="2:2" ht="15.95">
      <c r="B359" s="81"/>
    </row>
    <row r="360" spans="2:2" ht="15.95">
      <c r="B360" s="81"/>
    </row>
    <row r="361" spans="2:2" ht="15.95">
      <c r="B361" s="81"/>
    </row>
    <row r="362" spans="2:2" ht="15.95">
      <c r="B362" s="81"/>
    </row>
    <row r="363" spans="2:2" ht="15.95">
      <c r="B363" s="81"/>
    </row>
    <row r="364" spans="2:2" ht="15.95">
      <c r="B364" s="81"/>
    </row>
    <row r="365" spans="2:2" ht="15.95">
      <c r="B365" s="81"/>
    </row>
    <row r="366" spans="2:2" ht="15.95">
      <c r="B366" s="81"/>
    </row>
    <row r="367" spans="2:2" ht="15.95">
      <c r="B367" s="81"/>
    </row>
    <row r="368" spans="2:2" ht="15.95">
      <c r="B368" s="81"/>
    </row>
    <row r="369" spans="2:2" ht="15.95">
      <c r="B369" s="81"/>
    </row>
    <row r="370" spans="2:2" ht="15.95">
      <c r="B370" s="81"/>
    </row>
    <row r="371" spans="2:2" ht="15.95">
      <c r="B371" s="81"/>
    </row>
    <row r="372" spans="2:2" ht="15.95">
      <c r="B372" s="81"/>
    </row>
    <row r="373" spans="2:2" ht="15.95">
      <c r="B373" s="81"/>
    </row>
    <row r="374" spans="2:2" ht="15.95">
      <c r="B374" s="81"/>
    </row>
    <row r="375" spans="2:2" ht="15.95">
      <c r="B375" s="81"/>
    </row>
    <row r="376" spans="2:2" ht="15.95">
      <c r="B376" s="81"/>
    </row>
    <row r="377" spans="2:2" ht="15.95">
      <c r="B377" s="81"/>
    </row>
    <row r="378" spans="2:2" ht="15.95">
      <c r="B378" s="81"/>
    </row>
    <row r="379" spans="2:2" ht="15.95">
      <c r="B379" s="81"/>
    </row>
    <row r="380" spans="2:2" ht="15.95">
      <c r="B380" s="81"/>
    </row>
    <row r="381" spans="2:2" ht="15.95">
      <c r="B381" s="81"/>
    </row>
    <row r="382" spans="2:2" ht="15.95">
      <c r="B382" s="81"/>
    </row>
    <row r="383" spans="2:2" ht="15.95">
      <c r="B383" s="81"/>
    </row>
    <row r="384" spans="2:2" ht="15.95">
      <c r="B384" s="81"/>
    </row>
    <row r="385" spans="2:2" ht="15.95">
      <c r="B385" s="81"/>
    </row>
    <row r="386" spans="2:2" ht="15.95">
      <c r="B386" s="81"/>
    </row>
    <row r="387" spans="2:2" ht="15.95">
      <c r="B387" s="81"/>
    </row>
    <row r="388" spans="2:2" ht="15.95">
      <c r="B388" s="81"/>
    </row>
    <row r="389" spans="2:2" ht="15.95">
      <c r="B389" s="81"/>
    </row>
    <row r="390" spans="2:2" ht="15.95">
      <c r="B390" s="81"/>
    </row>
    <row r="391" spans="2:2" ht="15.95">
      <c r="B391" s="81"/>
    </row>
    <row r="392" spans="2:2" ht="15.95">
      <c r="B392" s="81"/>
    </row>
    <row r="393" spans="2:2" ht="15.95">
      <c r="B393" s="81"/>
    </row>
    <row r="394" spans="2:2" ht="15.95">
      <c r="B394" s="81"/>
    </row>
    <row r="395" spans="2:2" ht="15.95">
      <c r="B395" s="81"/>
    </row>
    <row r="396" spans="2:2" ht="15.95">
      <c r="B396" s="81"/>
    </row>
    <row r="397" spans="2:2" ht="15.95">
      <c r="B397" s="81"/>
    </row>
    <row r="398" spans="2:2" ht="15.95">
      <c r="B398" s="81"/>
    </row>
    <row r="399" spans="2:2" ht="15.95">
      <c r="B399" s="81"/>
    </row>
    <row r="400" spans="2:2" ht="15.95">
      <c r="B400" s="81"/>
    </row>
    <row r="401" spans="2:2" ht="15.95">
      <c r="B401" s="81"/>
    </row>
    <row r="402" spans="2:2" ht="15.95">
      <c r="B402" s="81"/>
    </row>
    <row r="403" spans="2:2" ht="15.95">
      <c r="B403" s="81"/>
    </row>
    <row r="404" spans="2:2" ht="15.95">
      <c r="B404" s="81"/>
    </row>
    <row r="405" spans="2:2" ht="15.95">
      <c r="B405" s="81"/>
    </row>
    <row r="406" spans="2:2" ht="15.95">
      <c r="B406" s="81"/>
    </row>
    <row r="407" spans="2:2" ht="15.95">
      <c r="B407" s="81"/>
    </row>
    <row r="408" spans="2:2" ht="15.95">
      <c r="B408" s="81"/>
    </row>
    <row r="409" spans="2:2" ht="15.95">
      <c r="B409" s="81"/>
    </row>
    <row r="410" spans="2:2" ht="15.95">
      <c r="B410" s="81"/>
    </row>
    <row r="411" spans="2:2" ht="15.95">
      <c r="B411" s="81"/>
    </row>
    <row r="412" spans="2:2" ht="15.95">
      <c r="B412" s="81"/>
    </row>
    <row r="413" spans="2:2" ht="15.95">
      <c r="B413" s="81"/>
    </row>
    <row r="414" spans="2:2" ht="15.95">
      <c r="B414" s="81"/>
    </row>
    <row r="415" spans="2:2" ht="15.95">
      <c r="B415" s="81"/>
    </row>
    <row r="416" spans="2:2" ht="15.95">
      <c r="B416" s="81"/>
    </row>
    <row r="417" spans="2:2" ht="15.95">
      <c r="B417" s="81"/>
    </row>
    <row r="418" spans="2:2" ht="15.95">
      <c r="B418" s="81"/>
    </row>
    <row r="419" spans="2:2" ht="15.95">
      <c r="B419" s="81"/>
    </row>
    <row r="420" spans="2:2" ht="15.95">
      <c r="B420" s="81"/>
    </row>
    <row r="421" spans="2:2" ht="15.95">
      <c r="B421" s="81"/>
    </row>
    <row r="422" spans="2:2" ht="15.95">
      <c r="B422" s="81"/>
    </row>
    <row r="423" spans="2:2" ht="15.95">
      <c r="B423" s="81"/>
    </row>
    <row r="424" spans="2:2" ht="15.95">
      <c r="B424" s="81"/>
    </row>
    <row r="425" spans="2:2" ht="15.95">
      <c r="B425" s="81"/>
    </row>
    <row r="426" spans="2:2" ht="15.95">
      <c r="B426" s="81"/>
    </row>
    <row r="427" spans="2:2" ht="15.95">
      <c r="B427" s="81"/>
    </row>
    <row r="428" spans="2:2" ht="15.95">
      <c r="B428" s="81"/>
    </row>
    <row r="429" spans="2:2" ht="15.95">
      <c r="B429" s="81"/>
    </row>
    <row r="430" spans="2:2" ht="15.95">
      <c r="B430" s="81"/>
    </row>
    <row r="431" spans="2:2" ht="15.95">
      <c r="B431" s="81"/>
    </row>
    <row r="432" spans="2:2" ht="15.95">
      <c r="B432" s="81"/>
    </row>
    <row r="433" spans="2:2" ht="15.95">
      <c r="B433" s="81"/>
    </row>
    <row r="434" spans="2:2" ht="15.95">
      <c r="B434" s="81"/>
    </row>
    <row r="435" spans="2:2" ht="15.95">
      <c r="B435" s="81"/>
    </row>
    <row r="436" spans="2:2" ht="15.95">
      <c r="B436" s="81"/>
    </row>
    <row r="437" spans="2:2" ht="15.95">
      <c r="B437" s="81"/>
    </row>
    <row r="438" spans="2:2" ht="15.95">
      <c r="B438" s="81"/>
    </row>
    <row r="439" spans="2:2" ht="15.95">
      <c r="B439" s="81"/>
    </row>
    <row r="440" spans="2:2" ht="15.95">
      <c r="B440" s="81"/>
    </row>
    <row r="441" spans="2:2" ht="15.95">
      <c r="B441" s="81"/>
    </row>
    <row r="442" spans="2:2" ht="15.95">
      <c r="B442" s="81"/>
    </row>
    <row r="443" spans="2:2" ht="15.95">
      <c r="B443" s="81"/>
    </row>
    <row r="444" spans="2:2" ht="15.95">
      <c r="B444" s="81"/>
    </row>
    <row r="445" spans="2:2" ht="15.95">
      <c r="B445" s="81"/>
    </row>
    <row r="446" spans="2:2" ht="15.95">
      <c r="B446" s="81"/>
    </row>
    <row r="447" spans="2:2" ht="15.95">
      <c r="B447" s="81"/>
    </row>
    <row r="448" spans="2:2" ht="15.95">
      <c r="B448" s="81"/>
    </row>
    <row r="449" spans="2:2" ht="15.95">
      <c r="B449" s="81"/>
    </row>
    <row r="450" spans="2:2" ht="15.95">
      <c r="B450" s="81"/>
    </row>
    <row r="451" spans="2:2" ht="15.95">
      <c r="B451" s="81"/>
    </row>
    <row r="452" spans="2:2" ht="15.95">
      <c r="B452" s="81"/>
    </row>
    <row r="453" spans="2:2" ht="15.95">
      <c r="B453" s="81"/>
    </row>
    <row r="454" spans="2:2" ht="15.95">
      <c r="B454" s="81"/>
    </row>
    <row r="455" spans="2:2" ht="15.95">
      <c r="B455" s="81"/>
    </row>
    <row r="456" spans="2:2" ht="15.95">
      <c r="B456" s="81"/>
    </row>
    <row r="457" spans="2:2" ht="15.95">
      <c r="B457" s="81"/>
    </row>
    <row r="458" spans="2:2" ht="15.95">
      <c r="B458" s="81"/>
    </row>
    <row r="459" spans="2:2" ht="15.95">
      <c r="B459" s="81"/>
    </row>
    <row r="460" spans="2:2" ht="15.95">
      <c r="B460" s="81"/>
    </row>
    <row r="461" spans="2:2" ht="15.95">
      <c r="B461" s="81"/>
    </row>
    <row r="462" spans="2:2" ht="15.95">
      <c r="B462" s="81"/>
    </row>
    <row r="463" spans="2:2" ht="15.95">
      <c r="B463" s="81"/>
    </row>
    <row r="464" spans="2:2" ht="15.95">
      <c r="B464" s="81"/>
    </row>
    <row r="465" spans="2:2" ht="15.95">
      <c r="B465" s="81"/>
    </row>
    <row r="466" spans="2:2" ht="15.95">
      <c r="B466" s="81"/>
    </row>
    <row r="467" spans="2:2" ht="15.95">
      <c r="B467" s="81"/>
    </row>
    <row r="468" spans="2:2" ht="15.95">
      <c r="B468" s="81"/>
    </row>
    <row r="469" spans="2:2" ht="15.95">
      <c r="B469" s="81"/>
    </row>
    <row r="470" spans="2:2" ht="15.95">
      <c r="B470" s="81"/>
    </row>
    <row r="471" spans="2:2" ht="15.95">
      <c r="B471" s="81"/>
    </row>
    <row r="472" spans="2:2" ht="15.95">
      <c r="B472" s="81"/>
    </row>
    <row r="473" spans="2:2" ht="15.95">
      <c r="B473" s="81"/>
    </row>
    <row r="474" spans="2:2" ht="15.95">
      <c r="B474" s="81"/>
    </row>
    <row r="475" spans="2:2" ht="15.95">
      <c r="B475" s="81"/>
    </row>
    <row r="476" spans="2:2" ht="15.95">
      <c r="B476" s="81"/>
    </row>
    <row r="477" spans="2:2" ht="15.95">
      <c r="B477" s="81"/>
    </row>
    <row r="478" spans="2:2" ht="15.95">
      <c r="B478" s="81"/>
    </row>
    <row r="479" spans="2:2" ht="15.95">
      <c r="B479" s="81"/>
    </row>
    <row r="480" spans="2:2" ht="15.95">
      <c r="B480" s="81"/>
    </row>
    <row r="481" spans="2:2" ht="15.95">
      <c r="B481" s="81"/>
    </row>
    <row r="482" spans="2:2" ht="15.95">
      <c r="B482" s="81"/>
    </row>
    <row r="483" spans="2:2" ht="15.95">
      <c r="B483" s="81"/>
    </row>
    <row r="484" spans="2:2" ht="15.95">
      <c r="B484" s="81"/>
    </row>
    <row r="485" spans="2:2" ht="15.95">
      <c r="B485" s="81"/>
    </row>
    <row r="486" spans="2:2" ht="15.95">
      <c r="B486" s="81"/>
    </row>
    <row r="487" spans="2:2" ht="15.95">
      <c r="B487" s="81"/>
    </row>
    <row r="488" spans="2:2" ht="15.95">
      <c r="B488" s="81"/>
    </row>
    <row r="489" spans="2:2" ht="15.95">
      <c r="B489" s="81"/>
    </row>
    <row r="490" spans="2:2" ht="15.95">
      <c r="B490" s="81"/>
    </row>
    <row r="491" spans="2:2" ht="15.95">
      <c r="B491" s="81"/>
    </row>
    <row r="492" spans="2:2" ht="15.95">
      <c r="B492" s="81"/>
    </row>
    <row r="493" spans="2:2" ht="15.95">
      <c r="B493" s="81"/>
    </row>
    <row r="494" spans="2:2" ht="15.95">
      <c r="B494" s="81"/>
    </row>
    <row r="495" spans="2:2" ht="15.95">
      <c r="B495" s="81"/>
    </row>
    <row r="496" spans="2:2" ht="15.95">
      <c r="B496" s="81"/>
    </row>
    <row r="497" spans="2:2" ht="15.95">
      <c r="B497" s="81"/>
    </row>
    <row r="498" spans="2:2" ht="15.95">
      <c r="B498" s="81"/>
    </row>
    <row r="499" spans="2:2" ht="15.95">
      <c r="B499" s="81"/>
    </row>
    <row r="500" spans="2:2" ht="15.95">
      <c r="B500" s="81"/>
    </row>
    <row r="501" spans="2:2" ht="15.95">
      <c r="B501" s="81"/>
    </row>
    <row r="502" spans="2:2" ht="15.95">
      <c r="B502" s="81"/>
    </row>
    <row r="503" spans="2:2" ht="15.95">
      <c r="B503" s="81"/>
    </row>
    <row r="504" spans="2:2" ht="15.95">
      <c r="B504" s="81"/>
    </row>
    <row r="505" spans="2:2" ht="15.95">
      <c r="B505" s="81"/>
    </row>
    <row r="506" spans="2:2" ht="15.95">
      <c r="B506" s="81"/>
    </row>
    <row r="507" spans="2:2" ht="15.95">
      <c r="B507" s="81"/>
    </row>
    <row r="508" spans="2:2" ht="15.95">
      <c r="B508" s="81"/>
    </row>
    <row r="509" spans="2:2" ht="15.95">
      <c r="B509" s="81"/>
    </row>
    <row r="510" spans="2:2" ht="15.95">
      <c r="B510" s="81"/>
    </row>
    <row r="511" spans="2:2" ht="15.95">
      <c r="B511" s="81"/>
    </row>
    <row r="512" spans="2:2" ht="15.95">
      <c r="B512" s="81"/>
    </row>
    <row r="513" spans="2:2" ht="15.95">
      <c r="B513" s="81"/>
    </row>
    <row r="514" spans="2:2" ht="15.95">
      <c r="B514" s="81"/>
    </row>
    <row r="515" spans="2:2" ht="15.95">
      <c r="B515" s="81"/>
    </row>
    <row r="516" spans="2:2" ht="15.95">
      <c r="B516" s="81"/>
    </row>
    <row r="517" spans="2:2" ht="15.95">
      <c r="B517" s="81"/>
    </row>
    <row r="518" spans="2:2" ht="15.95">
      <c r="B518" s="81"/>
    </row>
    <row r="519" spans="2:2" ht="15.95">
      <c r="B519" s="81"/>
    </row>
    <row r="520" spans="2:2" ht="15.95">
      <c r="B520" s="81"/>
    </row>
    <row r="521" spans="2:2" ht="15.95">
      <c r="B521" s="81"/>
    </row>
    <row r="522" spans="2:2" ht="15.95">
      <c r="B522" s="81"/>
    </row>
    <row r="523" spans="2:2" ht="15.95">
      <c r="B523" s="81"/>
    </row>
    <row r="524" spans="2:2" ht="15.95">
      <c r="B524" s="81"/>
    </row>
    <row r="525" spans="2:2" ht="15.95">
      <c r="B525" s="81"/>
    </row>
    <row r="526" spans="2:2" ht="15.95">
      <c r="B526" s="81"/>
    </row>
    <row r="527" spans="2:2" ht="15.95">
      <c r="B527" s="81"/>
    </row>
    <row r="528" spans="2:2" ht="15.95">
      <c r="B528" s="81"/>
    </row>
    <row r="529" spans="2:2" ht="15.95">
      <c r="B529" s="81"/>
    </row>
    <row r="530" spans="2:2" ht="15.95">
      <c r="B530" s="81"/>
    </row>
    <row r="531" spans="2:2" ht="15.95">
      <c r="B531" s="81"/>
    </row>
    <row r="532" spans="2:2" ht="15.95">
      <c r="B532" s="81"/>
    </row>
    <row r="533" spans="2:2" ht="15.95">
      <c r="B533" s="81"/>
    </row>
    <row r="534" spans="2:2" ht="15.95">
      <c r="B534" s="81"/>
    </row>
    <row r="535" spans="2:2" ht="15.95">
      <c r="B535" s="81"/>
    </row>
    <row r="536" spans="2:2" ht="15.95">
      <c r="B536" s="81"/>
    </row>
    <row r="537" spans="2:2" ht="15.95">
      <c r="B537" s="81"/>
    </row>
    <row r="538" spans="2:2" ht="15.95">
      <c r="B538" s="81"/>
    </row>
    <row r="539" spans="2:2" ht="15.95">
      <c r="B539" s="81"/>
    </row>
    <row r="540" spans="2:2" ht="15.95">
      <c r="B540" s="81"/>
    </row>
    <row r="541" spans="2:2" ht="15.95">
      <c r="B541" s="81"/>
    </row>
    <row r="542" spans="2:2" ht="15.95">
      <c r="B542" s="81"/>
    </row>
    <row r="543" spans="2:2" ht="15.95">
      <c r="B543" s="81"/>
    </row>
    <row r="544" spans="2:2" ht="15.95">
      <c r="B544" s="81"/>
    </row>
    <row r="545" spans="2:2" ht="15.95">
      <c r="B545" s="81"/>
    </row>
    <row r="546" spans="2:2" ht="15.95">
      <c r="B546" s="81"/>
    </row>
    <row r="547" spans="2:2" ht="15.95">
      <c r="B547" s="81"/>
    </row>
    <row r="548" spans="2:2" ht="15.95">
      <c r="B548" s="81"/>
    </row>
    <row r="549" spans="2:2" ht="15.95">
      <c r="B549" s="81"/>
    </row>
    <row r="550" spans="2:2" ht="15.95">
      <c r="B550" s="81"/>
    </row>
    <row r="551" spans="2:2" ht="15.95">
      <c r="B551" s="81"/>
    </row>
    <row r="552" spans="2:2" ht="15.95">
      <c r="B552" s="81"/>
    </row>
    <row r="553" spans="2:2" ht="15.95">
      <c r="B553" s="81"/>
    </row>
    <row r="554" spans="2:2" ht="15.95">
      <c r="B554" s="81"/>
    </row>
    <row r="555" spans="2:2" ht="15.95">
      <c r="B555" s="81"/>
    </row>
    <row r="556" spans="2:2" ht="15.95">
      <c r="B556" s="81"/>
    </row>
    <row r="557" spans="2:2" ht="15.95">
      <c r="B557" s="81"/>
    </row>
    <row r="558" spans="2:2" ht="15.95">
      <c r="B558" s="81"/>
    </row>
    <row r="559" spans="2:2" ht="15.95">
      <c r="B559" s="81"/>
    </row>
    <row r="560" spans="2:2" ht="15.95">
      <c r="B560" s="81"/>
    </row>
    <row r="561" spans="2:2" ht="15.95">
      <c r="B561" s="81"/>
    </row>
    <row r="562" spans="2:2" ht="15.95">
      <c r="B562" s="81"/>
    </row>
    <row r="563" spans="2:2" ht="15.95">
      <c r="B563" s="81"/>
    </row>
    <row r="564" spans="2:2" ht="15.95">
      <c r="B564" s="81"/>
    </row>
    <row r="565" spans="2:2" ht="15.95">
      <c r="B565" s="81"/>
    </row>
    <row r="566" spans="2:2" ht="15.95">
      <c r="B566" s="81"/>
    </row>
    <row r="567" spans="2:2" ht="15.95">
      <c r="B567" s="81"/>
    </row>
    <row r="568" spans="2:2" ht="15.95">
      <c r="B568" s="81"/>
    </row>
    <row r="569" spans="2:2" ht="15.95">
      <c r="B569" s="81"/>
    </row>
    <row r="570" spans="2:2" ht="15.95">
      <c r="B570" s="81"/>
    </row>
    <row r="571" spans="2:2" ht="15.95">
      <c r="B571" s="81"/>
    </row>
    <row r="572" spans="2:2" ht="15.95">
      <c r="B572" s="81"/>
    </row>
    <row r="573" spans="2:2" ht="15.95">
      <c r="B573" s="81"/>
    </row>
    <row r="574" spans="2:2" ht="15.95">
      <c r="B574" s="81"/>
    </row>
    <row r="575" spans="2:2" ht="15.95">
      <c r="B575" s="81"/>
    </row>
    <row r="576" spans="2:2" ht="15.95">
      <c r="B576" s="81"/>
    </row>
    <row r="577" spans="2:2" ht="15.95">
      <c r="B577" s="81"/>
    </row>
    <row r="578" spans="2:2" ht="15.95">
      <c r="B578" s="81"/>
    </row>
    <row r="579" spans="2:2" ht="15.95">
      <c r="B579" s="81"/>
    </row>
    <row r="580" spans="2:2" ht="15.95">
      <c r="B580" s="81"/>
    </row>
    <row r="581" spans="2:2" ht="15.95">
      <c r="B581" s="81"/>
    </row>
    <row r="582" spans="2:2" ht="15.95">
      <c r="B582" s="81"/>
    </row>
    <row r="583" spans="2:2" ht="15.95">
      <c r="B583" s="81"/>
    </row>
    <row r="584" spans="2:2" ht="15.95">
      <c r="B584" s="81"/>
    </row>
    <row r="585" spans="2:2" ht="15.95">
      <c r="B585" s="81"/>
    </row>
    <row r="586" spans="2:2" ht="15.95">
      <c r="B586" s="81"/>
    </row>
    <row r="587" spans="2:2" ht="15.95">
      <c r="B587" s="81"/>
    </row>
    <row r="588" spans="2:2" ht="15.95">
      <c r="B588" s="81"/>
    </row>
    <row r="589" spans="2:2" ht="15.95">
      <c r="B589" s="81"/>
    </row>
    <row r="590" spans="2:2" ht="15.95">
      <c r="B590" s="81"/>
    </row>
    <row r="591" spans="2:2" ht="15.95">
      <c r="B591" s="81"/>
    </row>
    <row r="592" spans="2:2" ht="15.95">
      <c r="B592" s="81"/>
    </row>
    <row r="593" spans="2:2" ht="15.95">
      <c r="B593" s="81"/>
    </row>
    <row r="594" spans="2:2" ht="15.95">
      <c r="B594" s="81"/>
    </row>
    <row r="595" spans="2:2" ht="15.95">
      <c r="B595" s="81"/>
    </row>
    <row r="596" spans="2:2" ht="15.95">
      <c r="B596" s="81"/>
    </row>
    <row r="597" spans="2:2" ht="15.95">
      <c r="B597" s="81"/>
    </row>
    <row r="598" spans="2:2" ht="15.95">
      <c r="B598" s="81"/>
    </row>
    <row r="599" spans="2:2" ht="15.95">
      <c r="B599" s="81"/>
    </row>
    <row r="600" spans="2:2" ht="15.95">
      <c r="B600" s="81"/>
    </row>
    <row r="601" spans="2:2" ht="15.95">
      <c r="B601" s="81"/>
    </row>
    <row r="602" spans="2:2" ht="15.95">
      <c r="B602" s="81"/>
    </row>
    <row r="603" spans="2:2" ht="15.95">
      <c r="B603" s="81"/>
    </row>
    <row r="604" spans="2:2" ht="15.95">
      <c r="B604" s="81"/>
    </row>
    <row r="605" spans="2:2" ht="15.95">
      <c r="B605" s="81"/>
    </row>
    <row r="606" spans="2:2" ht="15.95">
      <c r="B606" s="81"/>
    </row>
    <row r="607" spans="2:2" ht="15.95">
      <c r="B607" s="81"/>
    </row>
    <row r="608" spans="2:2" ht="15.95">
      <c r="B608" s="81"/>
    </row>
    <row r="609" spans="2:2" ht="15.95">
      <c r="B609" s="81"/>
    </row>
    <row r="610" spans="2:2" ht="15.95">
      <c r="B610" s="81"/>
    </row>
    <row r="611" spans="2:2" ht="15.95">
      <c r="B611" s="81"/>
    </row>
    <row r="612" spans="2:2" ht="15.95">
      <c r="B612" s="81"/>
    </row>
    <row r="613" spans="2:2" ht="15.95">
      <c r="B613" s="81"/>
    </row>
    <row r="614" spans="2:2" ht="15.95">
      <c r="B614" s="81"/>
    </row>
    <row r="615" spans="2:2" ht="15.95">
      <c r="B615" s="81"/>
    </row>
    <row r="616" spans="2:2" ht="15.95">
      <c r="B616" s="81"/>
    </row>
    <row r="617" spans="2:2" ht="15.95">
      <c r="B617" s="81"/>
    </row>
    <row r="618" spans="2:2" ht="15.95">
      <c r="B618" s="81"/>
    </row>
    <row r="619" spans="2:2" ht="15.95">
      <c r="B619" s="81"/>
    </row>
    <row r="620" spans="2:2" ht="15.95">
      <c r="B620" s="81"/>
    </row>
    <row r="621" spans="2:2" ht="15.95">
      <c r="B621" s="81"/>
    </row>
    <row r="622" spans="2:2" ht="15.95">
      <c r="B622" s="81"/>
    </row>
    <row r="623" spans="2:2" ht="15.95">
      <c r="B623" s="81"/>
    </row>
    <row r="624" spans="2:2" ht="15.95">
      <c r="B624" s="81"/>
    </row>
    <row r="625" spans="2:2" ht="15.95">
      <c r="B625" s="81"/>
    </row>
    <row r="626" spans="2:2" ht="15.95">
      <c r="B626" s="81"/>
    </row>
    <row r="627" spans="2:2" ht="15.95">
      <c r="B627" s="81"/>
    </row>
    <row r="628" spans="2:2" ht="15.95">
      <c r="B628" s="81"/>
    </row>
    <row r="629" spans="2:2" ht="15.95">
      <c r="B629" s="81"/>
    </row>
    <row r="630" spans="2:2" ht="15.95">
      <c r="B630" s="81"/>
    </row>
    <row r="631" spans="2:2" ht="15.95">
      <c r="B631" s="81"/>
    </row>
    <row r="632" spans="2:2" ht="15.95">
      <c r="B632" s="81"/>
    </row>
    <row r="633" spans="2:2" ht="15.95">
      <c r="B633" s="81"/>
    </row>
    <row r="634" spans="2:2" ht="15.95">
      <c r="B634" s="81"/>
    </row>
    <row r="635" spans="2:2" ht="15.95">
      <c r="B635" s="81"/>
    </row>
    <row r="636" spans="2:2" ht="15.95">
      <c r="B636" s="81"/>
    </row>
    <row r="637" spans="2:2" ht="15.95">
      <c r="B637" s="81"/>
    </row>
    <row r="638" spans="2:2" ht="15.95">
      <c r="B638" s="81"/>
    </row>
    <row r="639" spans="2:2" ht="15.95">
      <c r="B639" s="81"/>
    </row>
    <row r="640" spans="2:2" ht="15.95">
      <c r="B640" s="81"/>
    </row>
    <row r="641" spans="2:2" ht="15.95">
      <c r="B641" s="81"/>
    </row>
    <row r="642" spans="2:2" ht="15.95">
      <c r="B642" s="81"/>
    </row>
    <row r="643" spans="2:2" ht="15.95">
      <c r="B643" s="81"/>
    </row>
    <row r="644" spans="2:2" ht="15.95">
      <c r="B644" s="81"/>
    </row>
    <row r="645" spans="2:2" ht="15.95">
      <c r="B645" s="81"/>
    </row>
    <row r="646" spans="2:2" ht="15.95">
      <c r="B646" s="81"/>
    </row>
    <row r="647" spans="2:2" ht="15.95">
      <c r="B647" s="81"/>
    </row>
    <row r="648" spans="2:2" ht="15.95">
      <c r="B648" s="81"/>
    </row>
    <row r="649" spans="2:2" ht="15.95">
      <c r="B649" s="81"/>
    </row>
    <row r="650" spans="2:2" ht="15.95">
      <c r="B650" s="81"/>
    </row>
    <row r="651" spans="2:2" ht="15.95">
      <c r="B651" s="81"/>
    </row>
    <row r="652" spans="2:2" ht="15.95">
      <c r="B652" s="81"/>
    </row>
    <row r="653" spans="2:2" ht="15.95">
      <c r="B653" s="81"/>
    </row>
    <row r="654" spans="2:2" ht="15.95">
      <c r="B654" s="81"/>
    </row>
    <row r="655" spans="2:2" ht="15.95">
      <c r="B655" s="81"/>
    </row>
    <row r="656" spans="2:2" ht="15.95">
      <c r="B656" s="81"/>
    </row>
    <row r="657" spans="2:2" ht="15.95">
      <c r="B657" s="81"/>
    </row>
    <row r="658" spans="2:2" ht="15.95">
      <c r="B658" s="81"/>
    </row>
    <row r="659" spans="2:2" ht="15.95">
      <c r="B659" s="81"/>
    </row>
    <row r="660" spans="2:2" ht="15.95">
      <c r="B660" s="81"/>
    </row>
    <row r="661" spans="2:2" ht="15.95">
      <c r="B661" s="81"/>
    </row>
    <row r="662" spans="2:2" ht="15.95">
      <c r="B662" s="81"/>
    </row>
    <row r="663" spans="2:2" ht="15.95">
      <c r="B663" s="81"/>
    </row>
    <row r="664" spans="2:2" ht="15.95">
      <c r="B664" s="81"/>
    </row>
    <row r="665" spans="2:2" ht="15.95">
      <c r="B665" s="81"/>
    </row>
    <row r="666" spans="2:2" ht="15.95">
      <c r="B666" s="81"/>
    </row>
    <row r="667" spans="2:2" ht="15.95">
      <c r="B667" s="81"/>
    </row>
    <row r="668" spans="2:2" ht="15.95">
      <c r="B668" s="81"/>
    </row>
    <row r="669" spans="2:2" ht="15.95">
      <c r="B669" s="81"/>
    </row>
    <row r="670" spans="2:2" ht="15.95">
      <c r="B670" s="81"/>
    </row>
    <row r="671" spans="2:2" ht="15.95">
      <c r="B671" s="81"/>
    </row>
    <row r="672" spans="2:2" ht="15.95">
      <c r="B672" s="81"/>
    </row>
    <row r="673" spans="2:2" ht="15.95">
      <c r="B673" s="81"/>
    </row>
    <row r="674" spans="2:2" ht="15.95">
      <c r="B674" s="81"/>
    </row>
    <row r="675" spans="2:2" ht="15.95">
      <c r="B675" s="81"/>
    </row>
    <row r="676" spans="2:2" ht="15.95">
      <c r="B676" s="81"/>
    </row>
    <row r="677" spans="2:2" ht="15.95">
      <c r="B677" s="81"/>
    </row>
    <row r="678" spans="2:2" ht="15.95">
      <c r="B678" s="81"/>
    </row>
    <row r="679" spans="2:2" ht="15.95">
      <c r="B679" s="81"/>
    </row>
    <row r="680" spans="2:2" ht="15.95">
      <c r="B680" s="81"/>
    </row>
    <row r="681" spans="2:2" ht="15.95">
      <c r="B681" s="81"/>
    </row>
    <row r="682" spans="2:2" ht="15.95">
      <c r="B682" s="81"/>
    </row>
    <row r="683" spans="2:2" ht="15.95">
      <c r="B683" s="81"/>
    </row>
    <row r="684" spans="2:2" ht="15.95">
      <c r="B684" s="81"/>
    </row>
    <row r="685" spans="2:2" ht="15.95">
      <c r="B685" s="81"/>
    </row>
    <row r="686" spans="2:2" ht="15.95">
      <c r="B686" s="81"/>
    </row>
    <row r="687" spans="2:2" ht="15.95">
      <c r="B687" s="81"/>
    </row>
    <row r="688" spans="2:2" ht="15.95">
      <c r="B688" s="81"/>
    </row>
    <row r="689" spans="2:2" ht="15.95">
      <c r="B689" s="81"/>
    </row>
    <row r="690" spans="2:2" ht="15.95">
      <c r="B690" s="81"/>
    </row>
    <row r="691" spans="2:2" ht="15.95">
      <c r="B691" s="81"/>
    </row>
    <row r="692" spans="2:2" ht="15.95">
      <c r="B692" s="81"/>
    </row>
    <row r="693" spans="2:2" ht="15.95">
      <c r="B693" s="81"/>
    </row>
    <row r="694" spans="2:2" ht="15.95">
      <c r="B694" s="81"/>
    </row>
    <row r="695" spans="2:2" ht="15.95">
      <c r="B695" s="81"/>
    </row>
    <row r="696" spans="2:2" ht="15.95">
      <c r="B696" s="81"/>
    </row>
    <row r="697" spans="2:2" ht="15.95">
      <c r="B697" s="81"/>
    </row>
    <row r="698" spans="2:2" ht="15.95">
      <c r="B698" s="81"/>
    </row>
    <row r="699" spans="2:2" ht="15.95">
      <c r="B699" s="81"/>
    </row>
    <row r="700" spans="2:2" ht="15.95">
      <c r="B700" s="81"/>
    </row>
    <row r="701" spans="2:2" ht="15.95">
      <c r="B701" s="81"/>
    </row>
    <row r="702" spans="2:2" ht="15.95">
      <c r="B702" s="81"/>
    </row>
    <row r="703" spans="2:2" ht="15.95">
      <c r="B703" s="81"/>
    </row>
    <row r="704" spans="2:2" ht="15.95">
      <c r="B704" s="81"/>
    </row>
    <row r="705" spans="2:2" ht="15.95">
      <c r="B705" s="81"/>
    </row>
    <row r="706" spans="2:2" ht="15.95">
      <c r="B706" s="81"/>
    </row>
    <row r="707" spans="2:2" ht="15.95">
      <c r="B707" s="81"/>
    </row>
    <row r="708" spans="2:2" ht="15.95">
      <c r="B708" s="81"/>
    </row>
    <row r="709" spans="2:2" ht="15.95">
      <c r="B709" s="81"/>
    </row>
    <row r="710" spans="2:2" ht="15.95">
      <c r="B710" s="81"/>
    </row>
    <row r="711" spans="2:2" ht="15.95">
      <c r="B711" s="81"/>
    </row>
    <row r="712" spans="2:2" ht="15.95">
      <c r="B712" s="81"/>
    </row>
    <row r="713" spans="2:2" ht="15.95">
      <c r="B713" s="81"/>
    </row>
    <row r="714" spans="2:2" ht="15.95">
      <c r="B714" s="81"/>
    </row>
    <row r="715" spans="2:2" ht="15.95">
      <c r="B715" s="81"/>
    </row>
    <row r="716" spans="2:2" ht="15.95">
      <c r="B716" s="81"/>
    </row>
    <row r="717" spans="2:2" ht="15.95">
      <c r="B717" s="81"/>
    </row>
    <row r="718" spans="2:2" ht="15.95">
      <c r="B718" s="81"/>
    </row>
    <row r="719" spans="2:2" ht="15.95">
      <c r="B719" s="81"/>
    </row>
    <row r="720" spans="2:2" ht="15.95">
      <c r="B720" s="81"/>
    </row>
    <row r="721" spans="2:2" ht="15.95">
      <c r="B721" s="81"/>
    </row>
    <row r="722" spans="2:2" ht="15.95">
      <c r="B722" s="81"/>
    </row>
    <row r="723" spans="2:2" ht="15.95">
      <c r="B723" s="81"/>
    </row>
    <row r="724" spans="2:2" ht="15.95">
      <c r="B724" s="81"/>
    </row>
    <row r="725" spans="2:2" ht="15.95">
      <c r="B725" s="81"/>
    </row>
    <row r="726" spans="2:2" ht="15.95">
      <c r="B726" s="81"/>
    </row>
    <row r="727" spans="2:2" ht="15.95">
      <c r="B727" s="81"/>
    </row>
    <row r="728" spans="2:2" ht="15.95">
      <c r="B728" s="81"/>
    </row>
    <row r="729" spans="2:2" ht="15.95">
      <c r="B729" s="81"/>
    </row>
    <row r="730" spans="2:2" ht="15.95">
      <c r="B730" s="81"/>
    </row>
    <row r="731" spans="2:2" ht="15.95">
      <c r="B731" s="81"/>
    </row>
    <row r="732" spans="2:2" ht="15.95">
      <c r="B732" s="81"/>
    </row>
    <row r="733" spans="2:2" ht="15.95">
      <c r="B733" s="81"/>
    </row>
    <row r="734" spans="2:2" ht="15.95">
      <c r="B734" s="81"/>
    </row>
    <row r="735" spans="2:2" ht="15.95">
      <c r="B735" s="81"/>
    </row>
    <row r="736" spans="2:2" ht="15.95">
      <c r="B736" s="81"/>
    </row>
    <row r="737" spans="2:2" ht="15.95">
      <c r="B737" s="81"/>
    </row>
    <row r="738" spans="2:2" ht="15.95">
      <c r="B738" s="81"/>
    </row>
    <row r="739" spans="2:2" ht="15.95">
      <c r="B739" s="81"/>
    </row>
    <row r="740" spans="2:2" ht="15.95">
      <c r="B740" s="81"/>
    </row>
    <row r="741" spans="2:2" ht="15.95">
      <c r="B741" s="81"/>
    </row>
    <row r="742" spans="2:2" ht="15.95">
      <c r="B742" s="81"/>
    </row>
    <row r="743" spans="2:2" ht="15.95">
      <c r="B743" s="81"/>
    </row>
    <row r="744" spans="2:2" ht="15.95">
      <c r="B744" s="81"/>
    </row>
    <row r="745" spans="2:2" ht="15.95">
      <c r="B745" s="81"/>
    </row>
    <row r="746" spans="2:2" ht="15.95">
      <c r="B746" s="81"/>
    </row>
    <row r="747" spans="2:2" ht="15.95">
      <c r="B747" s="81"/>
    </row>
    <row r="748" spans="2:2" ht="15.95">
      <c r="B748" s="81"/>
    </row>
    <row r="749" spans="2:2" ht="15.95">
      <c r="B749" s="81"/>
    </row>
    <row r="750" spans="2:2" ht="15.95">
      <c r="B750" s="81"/>
    </row>
    <row r="751" spans="2:2" ht="15.95">
      <c r="B751" s="81"/>
    </row>
    <row r="752" spans="2:2" ht="15.95">
      <c r="B752" s="81"/>
    </row>
    <row r="753" spans="2:2" ht="15.95">
      <c r="B753" s="81"/>
    </row>
    <row r="754" spans="2:2" ht="15.95">
      <c r="B754" s="81"/>
    </row>
    <row r="755" spans="2:2" ht="15.95">
      <c r="B755" s="81"/>
    </row>
    <row r="756" spans="2:2" ht="15.95">
      <c r="B756" s="81"/>
    </row>
    <row r="757" spans="2:2" ht="15.95">
      <c r="B757" s="81"/>
    </row>
    <row r="758" spans="2:2" ht="15.95">
      <c r="B758" s="81"/>
    </row>
    <row r="759" spans="2:2" ht="15.95">
      <c r="B759" s="81"/>
    </row>
    <row r="760" spans="2:2" ht="15.95">
      <c r="B760" s="81"/>
    </row>
    <row r="761" spans="2:2" ht="15.95">
      <c r="B761" s="81"/>
    </row>
    <row r="762" spans="2:2" ht="15.95">
      <c r="B762" s="81"/>
    </row>
    <row r="763" spans="2:2" ht="15.95">
      <c r="B763" s="81"/>
    </row>
    <row r="764" spans="2:2" ht="15.95">
      <c r="B764" s="81"/>
    </row>
    <row r="765" spans="2:2" ht="15.95">
      <c r="B765" s="81"/>
    </row>
    <row r="766" spans="2:2" ht="15.95">
      <c r="B766" s="81"/>
    </row>
    <row r="767" spans="2:2" ht="15.95">
      <c r="B767" s="81"/>
    </row>
    <row r="768" spans="2:2" ht="15.95">
      <c r="B768" s="81"/>
    </row>
    <row r="769" spans="2:2" ht="15.95">
      <c r="B769" s="81"/>
    </row>
    <row r="770" spans="2:2" ht="15.95">
      <c r="B770" s="81"/>
    </row>
    <row r="771" spans="2:2" ht="15.95">
      <c r="B771" s="81"/>
    </row>
    <row r="772" spans="2:2" ht="15.95">
      <c r="B772" s="81"/>
    </row>
    <row r="773" spans="2:2" ht="15.95">
      <c r="B773" s="81"/>
    </row>
    <row r="774" spans="2:2" ht="15.95">
      <c r="B774" s="81"/>
    </row>
    <row r="775" spans="2:2" ht="15.95">
      <c r="B775" s="81"/>
    </row>
    <row r="776" spans="2:2" ht="15.95">
      <c r="B776" s="81"/>
    </row>
    <row r="777" spans="2:2" ht="15.95">
      <c r="B777" s="81"/>
    </row>
    <row r="778" spans="2:2" ht="15.95">
      <c r="B778" s="81"/>
    </row>
    <row r="779" spans="2:2" ht="15.95">
      <c r="B779" s="81"/>
    </row>
    <row r="780" spans="2:2" ht="15.95">
      <c r="B780" s="81"/>
    </row>
    <row r="781" spans="2:2" ht="15.95">
      <c r="B781" s="81"/>
    </row>
    <row r="782" spans="2:2" ht="15.95">
      <c r="B782" s="81"/>
    </row>
    <row r="783" spans="2:2" ht="15.95">
      <c r="B783" s="81"/>
    </row>
    <row r="784" spans="2:2" ht="15.95">
      <c r="B784" s="81"/>
    </row>
    <row r="785" spans="2:2" ht="15.95">
      <c r="B785" s="81"/>
    </row>
    <row r="786" spans="2:2" ht="15.95">
      <c r="B786" s="81"/>
    </row>
    <row r="787" spans="2:2" ht="15.95">
      <c r="B787" s="81"/>
    </row>
    <row r="788" spans="2:2" ht="15.95">
      <c r="B788" s="81"/>
    </row>
    <row r="789" spans="2:2" ht="15.95">
      <c r="B789" s="81"/>
    </row>
    <row r="790" spans="2:2" ht="15.95">
      <c r="B790" s="81"/>
    </row>
  </sheetData>
  <dataConsolidate/>
  <mergeCells count="12">
    <mergeCell ref="A7:H7"/>
    <mergeCell ref="K3:L3"/>
    <mergeCell ref="G1:H1"/>
    <mergeCell ref="A2:B6"/>
    <mergeCell ref="A1:B1"/>
    <mergeCell ref="C2:H2"/>
    <mergeCell ref="F6:G6"/>
    <mergeCell ref="C1:F1"/>
    <mergeCell ref="I2:J2"/>
    <mergeCell ref="I3:J3"/>
    <mergeCell ref="I1:L1"/>
    <mergeCell ref="K2:L2"/>
  </mergeCells>
  <phoneticPr fontId="5" type="noConversion"/>
  <conditionalFormatting sqref="C1:F1">
    <cfRule type="cellIs" dxfId="55" priority="3" operator="greaterThan">
      <formula>0</formula>
    </cfRule>
    <cfRule type="cellIs" dxfId="54" priority="4" operator="lessThan">
      <formula>0</formula>
    </cfRule>
  </conditionalFormatting>
  <dataValidations count="4">
    <dataValidation type="decimal" allowBlank="1" showInputMessage="1" showErrorMessage="1" errorTitle="Erreur d'entrée" error="Veuillez entrer une valeur numérique" sqref="E6" xr:uid="{536C9245-F1AB-4D46-A6CF-109C07955328}">
      <formula1>0</formula1>
      <formula2>99999999999</formula2>
    </dataValidation>
    <dataValidation errorStyle="information" allowBlank="1" showInputMessage="1" showErrorMessage="1" error="Soyez précis afin de laisser une trace lisible et cohérente pour le compte de résultat" promptTitle="Notes" prompt="Saisir les détails reliés au produit" sqref="H102" xr:uid="{3CBD7236-881E-AB4A-B5A7-954BEE470555}"/>
    <dataValidation allowBlank="1" showInputMessage="1" showErrorMessage="1" promptTitle="Transaction" prompt="Choisir si c'est un paiement ou un reçu" sqref="D5 D65:D69" xr:uid="{5ACCAE1E-4816-FA4B-9863-C829F52C4F44}"/>
    <dataValidation type="whole" showInputMessage="1" showErrorMessage="1" prompt="Insérer la quantité" sqref="G5" xr:uid="{6705B2C6-7632-5C4B-82C5-6070383C950A}">
      <formula1>0</formula1>
      <formula2>9999999999999</formula2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3" name="Button 12">
              <controlPr locked="0" defaultSize="0" print="0" autoFill="0" autoPict="0" macro="[0]!Macro13">
                <anchor moveWithCells="1" sizeWithCells="1">
                  <from>
                    <xdr:col>7</xdr:col>
                    <xdr:colOff>0</xdr:colOff>
                    <xdr:row>5</xdr:row>
                    <xdr:rowOff>12700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Erreur" promptTitle="Catégorie" prompt="Choisir la catégorie " xr:uid="{74309A92-CA7C-D548-9483-3FF98405CA14}">
          <x14:formula1>
            <xm:f>'Réf liste déroulante'!$B$5:$B$8</xm:f>
          </x14:formula1>
          <xm:sqref>C5 C65:C100</xm:sqref>
        </x14:dataValidation>
        <x14:dataValidation type="list" allowBlank="1" showInputMessage="1" showErrorMessage="1" promptTitle="Transaction" prompt="Choisir si c'est un paiement ou un reçu" xr:uid="{81FD3430-6F03-3C4F-B0AA-C6DA60E0CABF}">
          <x14:formula1>
            <xm:f>'Réf liste déroulante'!$C$5:$C$6</xm:f>
          </x14:formula1>
          <xm:sqref>D70:D100</xm:sqref>
        </x14:dataValidation>
        <x14:dataValidation type="list" allowBlank="1" showInputMessage="1" showErrorMessage="1" promptTitle="Moyen de paiement" prompt="Choisir comment s'est faite la transaction" xr:uid="{B137041F-CFF3-8647-B517-EB5DAA81D735}">
          <x14:formula1>
            <xm:f>'Réf liste déroulante'!$D$5:$D$7</xm:f>
          </x14:formula1>
          <xm:sqref>E5 E65:E100</xm:sqref>
        </x14:dataValidation>
        <x14:dataValidation type="list" showInputMessage="1" showErrorMessage="1" promptTitle="Mois" prompt="Selectionnez le mois correspondant à l'historique de votre choix" xr:uid="{F5BBB118-4096-6446-992C-489309471562}">
          <x14:formula1>
            <xm:f>'Réf liste déroulante'!$G$5:$G$16</xm:f>
          </x14:formula1>
          <xm:sqref>I2:J2</xm:sqref>
        </x14:dataValidation>
        <x14:dataValidation type="list" showInputMessage="1" showErrorMessage="1" promptTitle="Libellé" prompt="Choisir dans la liste le produit  " xr:uid="{EEFE3EF4-28AE-9545-A239-C378D53981D9}">
          <x14:formula1>
            <xm:f>'Réf liste déroulante'!$E$6:$E$14</xm:f>
          </x14:formula1>
          <xm:sqref>F65:G101</xm:sqref>
        </x14:dataValidation>
        <x14:dataValidation type="list" showInputMessage="1" showErrorMessage="1" promptTitle="Libellé" prompt="Choisir dans la liste le produit  " xr:uid="{EFE611B6-279C-A249-84EC-4C35B0B32E76}">
          <x14:formula1>
            <xm:f>'Réf liste déroulante'!$E$5:$E$14</xm:f>
          </x14:formula1>
          <xm:sqref>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D3E5A-1AEF-8F4B-A931-9B2742A78976}">
  <sheetPr codeName="Feuil9">
    <tabColor rgb="FF00B050"/>
  </sheetPr>
  <dimension ref="A1:D57"/>
  <sheetViews>
    <sheetView topLeftCell="A26" zoomScale="90" zoomScaleNormal="90" workbookViewId="0">
      <selection activeCell="B34" sqref="B34"/>
    </sheetView>
  </sheetViews>
  <sheetFormatPr defaultColWidth="11.42578125" defaultRowHeight="15"/>
  <cols>
    <col min="1" max="1" width="62" customWidth="1"/>
    <col min="2" max="2" width="24" style="68" bestFit="1" customWidth="1"/>
    <col min="3" max="3" width="20.7109375" style="68" customWidth="1"/>
    <col min="4" max="4" width="24" style="68" bestFit="1" customWidth="1"/>
  </cols>
  <sheetData>
    <row r="1" spans="1:4" ht="23.1">
      <c r="A1" s="62" t="s">
        <v>42</v>
      </c>
      <c r="B1" s="71" t="s">
        <v>43</v>
      </c>
      <c r="C1" s="71" t="s">
        <v>44</v>
      </c>
      <c r="D1" s="72" t="s">
        <v>45</v>
      </c>
    </row>
    <row r="3" spans="1:4" ht="21">
      <c r="A3" s="60" t="s">
        <v>46</v>
      </c>
      <c r="B3" s="64"/>
      <c r="C3" s="64"/>
      <c r="D3" s="64"/>
    </row>
    <row r="4" spans="1:4" ht="21">
      <c r="A4" s="63" t="s">
        <v>47</v>
      </c>
      <c r="B4" s="66">
        <f>B46</f>
        <v>0</v>
      </c>
      <c r="C4" s="66"/>
      <c r="D4" s="65">
        <f>SUM(B4:C4)</f>
        <v>0</v>
      </c>
    </row>
    <row r="5" spans="1:4" ht="21">
      <c r="A5" s="63" t="s">
        <v>48</v>
      </c>
      <c r="B5" s="66">
        <f>B30+B43+B45+B27+B29</f>
        <v>40</v>
      </c>
      <c r="C5" s="66"/>
      <c r="D5" s="65">
        <f t="shared" ref="D5:D7" si="0">SUM(B5:C5)</f>
        <v>40</v>
      </c>
    </row>
    <row r="6" spans="1:4" ht="21">
      <c r="A6" s="63" t="s">
        <v>49</v>
      </c>
      <c r="B6" s="66">
        <f>B25</f>
        <v>516500</v>
      </c>
      <c r="C6" s="66"/>
      <c r="D6" s="65">
        <f>SUM(B6:C6)</f>
        <v>516500</v>
      </c>
    </row>
    <row r="7" spans="1:4" ht="21">
      <c r="A7" s="63" t="s">
        <v>50</v>
      </c>
      <c r="B7" s="66">
        <f>B44</f>
        <v>0</v>
      </c>
      <c r="C7" s="66"/>
      <c r="D7" s="65">
        <f t="shared" si="0"/>
        <v>0</v>
      </c>
    </row>
    <row r="8" spans="1:4" ht="21">
      <c r="A8" s="61" t="s">
        <v>51</v>
      </c>
      <c r="B8" s="67">
        <f>SUM(B4:B7)</f>
        <v>516540</v>
      </c>
      <c r="C8" s="67">
        <f>SUM(C4:C7)</f>
        <v>0</v>
      </c>
      <c r="D8" s="67">
        <f>SUM(D4:D7)</f>
        <v>516540</v>
      </c>
    </row>
    <row r="10" spans="1:4" ht="21">
      <c r="A10" s="60" t="s">
        <v>52</v>
      </c>
      <c r="B10" s="64"/>
      <c r="C10" s="64"/>
      <c r="D10" s="64"/>
    </row>
    <row r="11" spans="1:4" ht="21">
      <c r="A11" s="63" t="s">
        <v>53</v>
      </c>
      <c r="B11" s="66">
        <f>B39</f>
        <v>0</v>
      </c>
      <c r="C11" s="66"/>
      <c r="D11" s="65">
        <f>SUM(B11:C11)</f>
        <v>0</v>
      </c>
    </row>
    <row r="12" spans="1:4" ht="21">
      <c r="A12" s="63" t="s">
        <v>54</v>
      </c>
      <c r="B12" s="66"/>
      <c r="C12" s="66"/>
      <c r="D12" s="65">
        <f>SUM(B12:C12)</f>
        <v>0</v>
      </c>
    </row>
    <row r="13" spans="1:4" ht="21">
      <c r="A13" s="63" t="s">
        <v>55</v>
      </c>
      <c r="B13" s="73">
        <f>B26+B28+B37+B36+B38+B40+B41+B42</f>
        <v>-350603</v>
      </c>
      <c r="C13" s="66"/>
      <c r="D13" s="65">
        <f t="shared" ref="D13:D16" si="1">SUM(B13:C13)</f>
        <v>-350603</v>
      </c>
    </row>
    <row r="14" spans="1:4" ht="21">
      <c r="A14" s="63" t="s">
        <v>56</v>
      </c>
      <c r="B14" s="66"/>
      <c r="C14" s="66"/>
      <c r="D14" s="65">
        <f t="shared" si="1"/>
        <v>0</v>
      </c>
    </row>
    <row r="15" spans="1:4" ht="21">
      <c r="A15" s="63" t="s">
        <v>57</v>
      </c>
      <c r="B15" s="66">
        <f>B34</f>
        <v>-10900</v>
      </c>
      <c r="C15" s="66"/>
      <c r="D15" s="65">
        <f>SUM(B15:C15)</f>
        <v>-10900</v>
      </c>
    </row>
    <row r="16" spans="1:4" ht="21">
      <c r="A16" s="63" t="s">
        <v>58</v>
      </c>
      <c r="B16" s="66"/>
      <c r="C16" s="66"/>
      <c r="D16" s="65">
        <f t="shared" si="1"/>
        <v>0</v>
      </c>
    </row>
    <row r="17" spans="1:4" ht="21">
      <c r="A17" s="61" t="s">
        <v>59</v>
      </c>
      <c r="B17" s="67">
        <f>SUM(B11:B16)</f>
        <v>-361503</v>
      </c>
      <c r="C17" s="67">
        <f t="shared" ref="C17:D17" si="2">SUM(C11:C16)</f>
        <v>0</v>
      </c>
      <c r="D17" s="67">
        <f t="shared" si="2"/>
        <v>-361503</v>
      </c>
    </row>
    <row r="22" spans="1:4" ht="23.1">
      <c r="A22" s="62" t="s">
        <v>60</v>
      </c>
      <c r="B22" s="71" t="s">
        <v>43</v>
      </c>
      <c r="C22" s="71" t="s">
        <v>44</v>
      </c>
      <c r="D22" s="72" t="s">
        <v>45</v>
      </c>
    </row>
    <row r="24" spans="1:4" ht="21">
      <c r="A24" s="60" t="s">
        <v>61</v>
      </c>
      <c r="B24" s="64"/>
      <c r="C24" s="64"/>
      <c r="D24" s="64"/>
    </row>
    <row r="25" spans="1:4" ht="21">
      <c r="A25" s="63" t="s">
        <v>62</v>
      </c>
      <c r="B25" s="66">
        <f>SUMIF(Ecritures!F:F,"Vente(s) de marchandise(s)",Ecritures!I:I)</f>
        <v>516500</v>
      </c>
      <c r="C25" s="66"/>
      <c r="D25" s="65">
        <f>SUM(B25:C25)</f>
        <v>516500</v>
      </c>
    </row>
    <row r="26" spans="1:4" ht="21">
      <c r="A26" s="63" t="s">
        <v>63</v>
      </c>
      <c r="B26" s="66">
        <f>SUMIF(Ecritures!F:F,"Cotisation(s)",Ecritures!I:I)</f>
        <v>0</v>
      </c>
      <c r="C26" s="66"/>
      <c r="D26" s="65">
        <f>SUM(B26:C26)</f>
        <v>0</v>
      </c>
    </row>
    <row r="27" spans="1:4" ht="21">
      <c r="A27" s="63" t="s">
        <v>40</v>
      </c>
      <c r="B27" s="66">
        <f>SUMIF(Ecritures!F:F,"Change",Ecritures!I:I)</f>
        <v>40</v>
      </c>
      <c r="C27" s="66"/>
      <c r="D27" s="65">
        <f>SUM(B27:C27)</f>
        <v>40</v>
      </c>
    </row>
    <row r="28" spans="1:4" ht="21">
      <c r="A28" s="63" t="s">
        <v>64</v>
      </c>
      <c r="B28" s="73">
        <f>SUMIF(Ecritures!F:F,"Autre(s)",Ecritures!I:I)</f>
        <v>0</v>
      </c>
      <c r="C28" s="66"/>
      <c r="D28" s="65">
        <f>SUM(B28:C28)</f>
        <v>0</v>
      </c>
    </row>
    <row r="29" spans="1:4" ht="21">
      <c r="A29" s="63" t="s">
        <v>65</v>
      </c>
      <c r="B29" s="66">
        <f>SUMIF(Ecritures!F:F,"Don(s)",Ecritures!I:I)</f>
        <v>0</v>
      </c>
      <c r="C29" s="66"/>
      <c r="D29" s="65">
        <f>SUM(B29:C29)</f>
        <v>0</v>
      </c>
    </row>
    <row r="30" spans="1:4" ht="21">
      <c r="A30" s="63" t="s">
        <v>66</v>
      </c>
      <c r="B30" s="73"/>
      <c r="C30" s="66"/>
      <c r="D30" s="65">
        <f t="shared" ref="D30" si="3">SUM(B30:C30)</f>
        <v>0</v>
      </c>
    </row>
    <row r="31" spans="1:4" ht="21">
      <c r="A31" s="61" t="s">
        <v>67</v>
      </c>
      <c r="B31" s="67">
        <f>SUM(B25:B30)</f>
        <v>516540</v>
      </c>
      <c r="C31" s="67">
        <f t="shared" ref="C31:D31" si="4">SUM(C25:C30)</f>
        <v>0</v>
      </c>
      <c r="D31" s="67">
        <f t="shared" si="4"/>
        <v>516540</v>
      </c>
    </row>
    <row r="33" spans="1:4" ht="21">
      <c r="A33" s="60" t="s">
        <v>68</v>
      </c>
      <c r="B33" s="64"/>
      <c r="C33" s="64"/>
      <c r="D33" s="64"/>
    </row>
    <row r="34" spans="1:4" ht="21">
      <c r="A34" s="63" t="s">
        <v>69</v>
      </c>
      <c r="B34" s="66">
        <f>SUMIF(Ecritures!F:F,"Achat(s) de marchandise(s)",Ecritures!J:J)</f>
        <v>-10900</v>
      </c>
      <c r="C34" s="66"/>
      <c r="D34" s="65">
        <f>SUM(B34:C34)</f>
        <v>-10900</v>
      </c>
    </row>
    <row r="35" spans="1:4" ht="21">
      <c r="A35" s="63" t="s">
        <v>70</v>
      </c>
      <c r="B35" s="66">
        <f>SUMIF(Ecritures!F:F,"Impression(s)",Ecritures!J:J)</f>
        <v>0</v>
      </c>
      <c r="C35" s="66"/>
      <c r="D35" s="65">
        <f>SUM(B35:C35)</f>
        <v>0</v>
      </c>
    </row>
    <row r="36" spans="1:4" ht="21">
      <c r="A36" s="63" t="s">
        <v>71</v>
      </c>
      <c r="B36" s="66">
        <f>SUMIF(Ecritures!F:F,"Matériel(s) de bureau",Ecritures!J:J)</f>
        <v>-10</v>
      </c>
      <c r="C36" s="66"/>
      <c r="D36" s="65">
        <f t="shared" ref="D36:D40" si="5">SUM(B36:C36)</f>
        <v>-10</v>
      </c>
    </row>
    <row r="37" spans="1:4" ht="21">
      <c r="A37" s="63" t="s">
        <v>38</v>
      </c>
      <c r="B37" s="66">
        <f>SUMIF(Ecritures!F:F,"Assurance",Ecritures!J:J)</f>
        <v>-190</v>
      </c>
      <c r="C37" s="66">
        <v>-190</v>
      </c>
      <c r="D37" s="65">
        <f>SUM(B37:C37)</f>
        <v>-380</v>
      </c>
    </row>
    <row r="38" spans="1:4" ht="21">
      <c r="A38" s="63" t="s">
        <v>64</v>
      </c>
      <c r="B38" s="66">
        <f>SUMIF(Ecritures!F:F,"Autre(s)",Ecritures!J:J)+SUMIF(Ecritures!F:F,"Change",Ecritures!J:J)</f>
        <v>-350403</v>
      </c>
      <c r="C38" s="66"/>
      <c r="D38" s="65">
        <f>SUM(B38:C38)</f>
        <v>-350403</v>
      </c>
    </row>
    <row r="39" spans="1:4" ht="21">
      <c r="A39" s="63" t="s">
        <v>65</v>
      </c>
      <c r="B39" s="66">
        <f>SUMIF(Ecritures!F:F,"Don(s)",Ecritures!J:J)</f>
        <v>0</v>
      </c>
      <c r="C39" s="66"/>
      <c r="D39" s="65">
        <f>SUM(B39:C39)</f>
        <v>0</v>
      </c>
    </row>
    <row r="40" spans="1:4" ht="21">
      <c r="A40" s="63" t="s">
        <v>72</v>
      </c>
      <c r="B40" s="66"/>
      <c r="C40" s="66"/>
      <c r="D40" s="65">
        <f t="shared" si="5"/>
        <v>0</v>
      </c>
    </row>
    <row r="41" spans="1:4" ht="21">
      <c r="A41" s="63" t="s">
        <v>73</v>
      </c>
      <c r="B41" s="66"/>
      <c r="C41" s="66"/>
      <c r="D41" s="65">
        <f>SUM(B41:C41)</f>
        <v>0</v>
      </c>
    </row>
    <row r="42" spans="1:4" ht="21">
      <c r="A42" s="63" t="s">
        <v>74</v>
      </c>
      <c r="B42" s="66"/>
      <c r="C42" s="66"/>
      <c r="D42" s="65">
        <f>SUM(B42:C42)</f>
        <v>0</v>
      </c>
    </row>
    <row r="43" spans="1:4" ht="21">
      <c r="A43" s="63" t="s">
        <v>75</v>
      </c>
      <c r="B43" s="73"/>
      <c r="C43" s="66"/>
      <c r="D43" s="65">
        <f t="shared" ref="D43:D46" si="6">SUM(B43:C43)</f>
        <v>0</v>
      </c>
    </row>
    <row r="44" spans="1:4" ht="21">
      <c r="A44" s="63" t="s">
        <v>76</v>
      </c>
      <c r="B44" s="66"/>
      <c r="C44" s="66"/>
      <c r="D44" s="65">
        <f t="shared" si="6"/>
        <v>0</v>
      </c>
    </row>
    <row r="45" spans="1:4" ht="21">
      <c r="A45" s="63" t="s">
        <v>77</v>
      </c>
      <c r="B45" s="66"/>
      <c r="C45" s="66"/>
      <c r="D45" s="65">
        <f>SUM(B45:C45)</f>
        <v>0</v>
      </c>
    </row>
    <row r="46" spans="1:4" ht="21">
      <c r="A46" s="63" t="s">
        <v>78</v>
      </c>
      <c r="B46" s="66"/>
      <c r="C46" s="66"/>
      <c r="D46" s="65">
        <f t="shared" si="6"/>
        <v>0</v>
      </c>
    </row>
    <row r="47" spans="1:4" ht="21">
      <c r="A47" s="61" t="s">
        <v>79</v>
      </c>
      <c r="B47" s="67">
        <f>SUM(B34:B46)</f>
        <v>-361503</v>
      </c>
      <c r="C47" s="67">
        <f>SUM(C34:C46)</f>
        <v>-190</v>
      </c>
      <c r="D47" s="67">
        <f>SUM(D34:D46)</f>
        <v>-361693</v>
      </c>
    </row>
    <row r="49" spans="1:4" ht="17.100000000000001">
      <c r="A49" s="59" t="s">
        <v>80</v>
      </c>
      <c r="B49" s="69">
        <f>SUM(B25:B30)+SUM(B34:B46)</f>
        <v>155037</v>
      </c>
      <c r="C49" s="69">
        <f t="shared" ref="C49" si="7">C31-C47</f>
        <v>190</v>
      </c>
      <c r="D49" s="69">
        <f>D31+D47</f>
        <v>154847</v>
      </c>
    </row>
    <row r="51" spans="1:4" ht="17.100000000000001">
      <c r="A51" s="58" t="s">
        <v>81</v>
      </c>
      <c r="B51" s="70">
        <f>SUM(B8,B17)</f>
        <v>155037</v>
      </c>
      <c r="C51" s="70">
        <f t="shared" ref="C51:D51" si="8">SUM(C8,C17)</f>
        <v>0</v>
      </c>
      <c r="D51" s="70">
        <f t="shared" si="8"/>
        <v>155037</v>
      </c>
    </row>
    <row r="53" spans="1:4" ht="23.1">
      <c r="A53" s="57" t="s">
        <v>82</v>
      </c>
    </row>
    <row r="54" spans="1:4" ht="17.100000000000001">
      <c r="A54" s="58" t="s">
        <v>83</v>
      </c>
    </row>
    <row r="55" spans="1:4" ht="17.100000000000001">
      <c r="A55" s="58" t="s">
        <v>83</v>
      </c>
    </row>
    <row r="56" spans="1:4" ht="17.100000000000001">
      <c r="A56" s="58" t="s">
        <v>83</v>
      </c>
    </row>
    <row r="57" spans="1:4" ht="17.100000000000001">
      <c r="A57" s="59" t="s">
        <v>84</v>
      </c>
    </row>
  </sheetData>
  <conditionalFormatting sqref="B4:D7">
    <cfRule type="cellIs" dxfId="42" priority="67" operator="greaterThan">
      <formula>0</formula>
    </cfRule>
    <cfRule type="cellIs" dxfId="41" priority="69" operator="lessThan">
      <formula>0</formula>
    </cfRule>
  </conditionalFormatting>
  <conditionalFormatting sqref="D12:D16">
    <cfRule type="cellIs" dxfId="40" priority="47" operator="greaterThan">
      <formula>0</formula>
    </cfRule>
    <cfRule type="cellIs" dxfId="39" priority="48" operator="lessThan">
      <formula>0</formula>
    </cfRule>
  </conditionalFormatting>
  <conditionalFormatting sqref="D25">
    <cfRule type="cellIs" dxfId="38" priority="45" operator="greaterThan">
      <formula>0</formula>
    </cfRule>
    <cfRule type="cellIs" dxfId="37" priority="46" operator="lessThan">
      <formula>0</formula>
    </cfRule>
  </conditionalFormatting>
  <conditionalFormatting sqref="D11">
    <cfRule type="cellIs" dxfId="36" priority="49" operator="greaterThan">
      <formula>0</formula>
    </cfRule>
    <cfRule type="cellIs" dxfId="35" priority="50" operator="lessThan">
      <formula>0</formula>
    </cfRule>
  </conditionalFormatting>
  <conditionalFormatting sqref="D26:D30">
    <cfRule type="cellIs" dxfId="34" priority="43" operator="greaterThan">
      <formula>0</formula>
    </cfRule>
    <cfRule type="cellIs" dxfId="33" priority="44" operator="lessThan">
      <formula>0</formula>
    </cfRule>
  </conditionalFormatting>
  <conditionalFormatting sqref="D42:D46">
    <cfRule type="cellIs" dxfId="32" priority="31" operator="greaterThan">
      <formula>0</formula>
    </cfRule>
    <cfRule type="cellIs" dxfId="31" priority="32" operator="lessThan">
      <formula>0</formula>
    </cfRule>
  </conditionalFormatting>
  <conditionalFormatting sqref="B40:C40">
    <cfRule type="cellIs" dxfId="30" priority="15" operator="greaterThan">
      <formula>0</formula>
    </cfRule>
    <cfRule type="cellIs" dxfId="29" priority="16" operator="lessThan">
      <formula>0</formula>
    </cfRule>
  </conditionalFormatting>
  <conditionalFormatting sqref="D34">
    <cfRule type="cellIs" dxfId="28" priority="37" operator="greaterThan">
      <formula>0</formula>
    </cfRule>
    <cfRule type="cellIs" dxfId="27" priority="38" operator="lessThan">
      <formula>0</formula>
    </cfRule>
  </conditionalFormatting>
  <conditionalFormatting sqref="D35:D40">
    <cfRule type="cellIs" dxfId="26" priority="35" operator="greaterThan">
      <formula>0</formula>
    </cfRule>
    <cfRule type="cellIs" dxfId="25" priority="36" operator="lessThan">
      <formula>0</formula>
    </cfRule>
  </conditionalFormatting>
  <conditionalFormatting sqref="D41">
    <cfRule type="cellIs" dxfId="24" priority="33" operator="greaterThan">
      <formula>0</formula>
    </cfRule>
    <cfRule type="cellIs" dxfId="23" priority="34" operator="lessThan">
      <formula>0</formula>
    </cfRule>
  </conditionalFormatting>
  <conditionalFormatting sqref="B41:C45">
    <cfRule type="cellIs" dxfId="22" priority="9" operator="greaterThan">
      <formula>0</formula>
    </cfRule>
    <cfRule type="cellIs" dxfId="21" priority="10" operator="lessThan">
      <formula>0</formula>
    </cfRule>
  </conditionalFormatting>
  <conditionalFormatting sqref="B11:C15">
    <cfRule type="cellIs" dxfId="20" priority="19" operator="greaterThan">
      <formula>0</formula>
    </cfRule>
    <cfRule type="cellIs" dxfId="19" priority="20" operator="lessThan">
      <formula>0</formula>
    </cfRule>
  </conditionalFormatting>
  <conditionalFormatting sqref="B34:C39">
    <cfRule type="cellIs" dxfId="18" priority="13" operator="greaterThan">
      <formula>0</formula>
    </cfRule>
    <cfRule type="cellIs" dxfId="17" priority="14" operator="lessThan">
      <formula>0</formula>
    </cfRule>
  </conditionalFormatting>
  <conditionalFormatting sqref="B16:C16">
    <cfRule type="cellIs" dxfId="16" priority="23" operator="greaterThan">
      <formula>0</formula>
    </cfRule>
    <cfRule type="cellIs" dxfId="15" priority="24" operator="lessThan">
      <formula>0</formula>
    </cfRule>
  </conditionalFormatting>
  <conditionalFormatting sqref="B30:C30">
    <cfRule type="cellIs" dxfId="14" priority="21" operator="greaterThan">
      <formula>0</formula>
    </cfRule>
    <cfRule type="cellIs" dxfId="13" priority="22" operator="lessThan">
      <formula>0</formula>
    </cfRule>
  </conditionalFormatting>
  <conditionalFormatting sqref="B25:C26 B28:C28 C29">
    <cfRule type="cellIs" dxfId="12" priority="17" operator="greaterThan">
      <formula>0</formula>
    </cfRule>
    <cfRule type="cellIs" dxfId="11" priority="18" operator="lessThan">
      <formula>0</formula>
    </cfRule>
  </conditionalFormatting>
  <conditionalFormatting sqref="B46:C46">
    <cfRule type="cellIs" dxfId="10" priority="11" operator="greaterThan">
      <formula>0</formula>
    </cfRule>
    <cfRule type="cellIs" dxfId="9" priority="12" operator="lessThan">
      <formula>0</formula>
    </cfRule>
  </conditionalFormatting>
  <conditionalFormatting sqref="C27">
    <cfRule type="cellIs" dxfId="8" priority="5" operator="greaterThan">
      <formula>0</formula>
    </cfRule>
    <cfRule type="cellIs" dxfId="7" priority="6" operator="lessThan">
      <formula>0</formula>
    </cfRule>
  </conditionalFormatting>
  <conditionalFormatting sqref="B27">
    <cfRule type="cellIs" dxfId="6" priority="3" operator="greaterThan">
      <formula>0</formula>
    </cfRule>
    <cfRule type="cellIs" dxfId="5" priority="4" operator="lessThan">
      <formula>0</formula>
    </cfRule>
  </conditionalFormatting>
  <conditionalFormatting sqref="B29">
    <cfRule type="cellIs" dxfId="4" priority="1" operator="greaterThan">
      <formula>0</formula>
    </cfRule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7D51D-CEBF-4C47-9B08-CA5D24AAF872}">
  <sheetPr codeName="Feuil5"/>
  <dimension ref="A4:G16"/>
  <sheetViews>
    <sheetView workbookViewId="0">
      <selection activeCell="E20" sqref="E20"/>
    </sheetView>
  </sheetViews>
  <sheetFormatPr defaultColWidth="11.42578125" defaultRowHeight="15"/>
  <cols>
    <col min="2" max="2" width="21.42578125" customWidth="1"/>
    <col min="3" max="3" width="11" customWidth="1"/>
    <col min="4" max="4" width="21.42578125" customWidth="1"/>
    <col min="5" max="5" width="22.140625" customWidth="1"/>
    <col min="6" max="6" width="17.42578125" customWidth="1"/>
    <col min="10" max="10" width="21.42578125" customWidth="1"/>
  </cols>
  <sheetData>
    <row r="4" spans="1:7" ht="15.95">
      <c r="A4" s="21" t="s">
        <v>21</v>
      </c>
      <c r="B4" s="21" t="s">
        <v>85</v>
      </c>
      <c r="C4" s="21" t="s">
        <v>86</v>
      </c>
      <c r="D4" s="21" t="s">
        <v>10</v>
      </c>
      <c r="E4" s="21" t="s">
        <v>11</v>
      </c>
      <c r="F4" s="21" t="s">
        <v>13</v>
      </c>
      <c r="G4" s="24" t="s">
        <v>87</v>
      </c>
    </row>
    <row r="5" spans="1:7">
      <c r="B5" t="s">
        <v>14</v>
      </c>
      <c r="C5" t="s">
        <v>25</v>
      </c>
      <c r="D5" t="s">
        <v>15</v>
      </c>
      <c r="E5" t="str">
        <f>IF(Ecritures!D5="Décaissement"," ","Cotisation(s)")</f>
        <v>Cotisation(s)</v>
      </c>
      <c r="G5" t="s">
        <v>88</v>
      </c>
    </row>
    <row r="6" spans="1:7">
      <c r="B6" t="s">
        <v>28</v>
      </c>
      <c r="C6" t="s">
        <v>29</v>
      </c>
      <c r="D6" t="s">
        <v>32</v>
      </c>
      <c r="E6" t="s">
        <v>89</v>
      </c>
      <c r="G6" t="s">
        <v>90</v>
      </c>
    </row>
    <row r="7" spans="1:7">
      <c r="B7" t="s">
        <v>91</v>
      </c>
      <c r="D7" t="s">
        <v>34</v>
      </c>
      <c r="E7" t="str">
        <f>IF(Ecritures!D5="Décaissement"," ","Vente(s) de marchandise(s)")</f>
        <v>Vente(s) de marchandise(s)</v>
      </c>
      <c r="G7" t="s">
        <v>5</v>
      </c>
    </row>
    <row r="8" spans="1:7">
      <c r="B8" t="s">
        <v>92</v>
      </c>
      <c r="E8" t="str">
        <f>IF(Ecritures!D5="Décaissement","Achat(s) de marchandise(s) ","")</f>
        <v/>
      </c>
      <c r="G8" t="s">
        <v>93</v>
      </c>
    </row>
    <row r="9" spans="1:7">
      <c r="E9" t="str">
        <f>IF(Ecritures!D5="Décaissement","Impression(s) ","")</f>
        <v/>
      </c>
      <c r="G9" t="s">
        <v>94</v>
      </c>
    </row>
    <row r="10" spans="1:7">
      <c r="E10" t="str">
        <f>IF(Ecritures!D5="Décaissement","Publicité ","")</f>
        <v/>
      </c>
      <c r="G10" t="s">
        <v>95</v>
      </c>
    </row>
    <row r="11" spans="1:7">
      <c r="E11" t="str">
        <f>IF(Ecritures!D5="Décaissement","Assurance ","")</f>
        <v/>
      </c>
      <c r="G11" t="s">
        <v>96</v>
      </c>
    </row>
    <row r="12" spans="1:7">
      <c r="E12" t="str">
        <f>IF(Ecritures!D5="Décaissement","Matériel(s) de bureau","")</f>
        <v/>
      </c>
      <c r="G12" t="s">
        <v>97</v>
      </c>
    </row>
    <row r="13" spans="1:7">
      <c r="E13" t="s">
        <v>40</v>
      </c>
      <c r="G13" t="s">
        <v>98</v>
      </c>
    </row>
    <row r="14" spans="1:7">
      <c r="E14" t="s">
        <v>35</v>
      </c>
      <c r="G14" t="s">
        <v>99</v>
      </c>
    </row>
    <row r="15" spans="1:7">
      <c r="G15" t="s">
        <v>100</v>
      </c>
    </row>
    <row r="16" spans="1:7">
      <c r="G16" t="s">
        <v>101</v>
      </c>
    </row>
  </sheetData>
  <dataValidations count="2">
    <dataValidation allowBlank="1" showInputMessage="1" showErrorMessage="1" promptTitle="Catégorie" prompt="Choisir la catégorie de la transaction" sqref="B4" xr:uid="{E3FE03CE-D223-F04A-8EEF-C2487EC5DF1E}"/>
    <dataValidation type="list" showInputMessage="1" showErrorMessage="1" promptTitle="Catégorie" prompt="Choisir la catégorie de la transaction" sqref="B5:B8" xr:uid="{6FA0F0F2-5789-314C-B23C-4DC63DCC6867}">
      <formula1>$B$5:$B$8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86FB6-C637-ED48-A412-A4B2FB58B290}">
  <sheetPr codeName="Feuil11">
    <tabColor rgb="FFFFFF00"/>
  </sheetPr>
  <dimension ref="A1:B1"/>
  <sheetViews>
    <sheetView workbookViewId="0">
      <selection activeCell="B2" sqref="B2"/>
    </sheetView>
  </sheetViews>
  <sheetFormatPr defaultColWidth="11.42578125" defaultRowHeight="15"/>
  <cols>
    <col min="1" max="1" width="32.28515625" customWidth="1"/>
    <col min="2" max="2" width="21.140625" customWidth="1"/>
  </cols>
  <sheetData>
    <row r="1" spans="1:2" ht="23.1">
      <c r="A1" s="79" t="s">
        <v>102</v>
      </c>
      <c r="B1" s="71" t="s">
        <v>103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D7040-4EED-4ADB-992B-9B66DFD6F2B7}">
  <sheetPr codeName="Feuil6" filterMode="1">
    <tabColor rgb="FF7030A0"/>
    <pageSetUpPr fitToPage="1"/>
  </sheetPr>
  <dimension ref="A1:M64"/>
  <sheetViews>
    <sheetView topLeftCell="B1" zoomScale="150" zoomScaleNormal="150" workbookViewId="0">
      <pane ySplit="2" topLeftCell="A4" activePane="bottomLeft" state="frozen"/>
      <selection pane="bottomLeft" activeCell="B4" sqref="B4"/>
    </sheetView>
  </sheetViews>
  <sheetFormatPr defaultColWidth="11.42578125" defaultRowHeight="15"/>
  <cols>
    <col min="1" max="1" width="3" style="1" bestFit="1" customWidth="1"/>
    <col min="2" max="2" width="20" style="1" bestFit="1" customWidth="1"/>
    <col min="3" max="3" width="18" style="1" bestFit="1" customWidth="1"/>
    <col min="4" max="4" width="28.85546875" style="1" bestFit="1" customWidth="1"/>
    <col min="5" max="5" width="10.42578125" style="1" bestFit="1" customWidth="1"/>
    <col min="6" max="6" width="17.140625" style="2" bestFit="1" customWidth="1"/>
    <col min="7" max="7" width="18.85546875" style="2" bestFit="1" customWidth="1"/>
    <col min="8" max="8" width="6.42578125" style="1" customWidth="1"/>
    <col min="9" max="9" width="22" style="1" bestFit="1" customWidth="1"/>
    <col min="10" max="13" width="11.42578125" style="1"/>
  </cols>
  <sheetData>
    <row r="1" spans="1:9">
      <c r="B1" s="110" t="s">
        <v>104</v>
      </c>
      <c r="C1" s="110"/>
      <c r="D1" s="110"/>
      <c r="E1" s="110"/>
      <c r="F1" s="110"/>
      <c r="G1" s="110"/>
      <c r="H1" s="110"/>
      <c r="I1" s="110"/>
    </row>
    <row r="2" spans="1:9">
      <c r="A2" s="4" t="s">
        <v>105</v>
      </c>
      <c r="B2" s="12" t="s">
        <v>106</v>
      </c>
      <c r="C2" s="12" t="s">
        <v>107</v>
      </c>
      <c r="D2" s="12" t="s">
        <v>108</v>
      </c>
      <c r="E2" s="12" t="s">
        <v>8</v>
      </c>
      <c r="F2" s="13" t="s">
        <v>109</v>
      </c>
      <c r="G2" s="13" t="s">
        <v>110</v>
      </c>
      <c r="H2" s="12" t="s">
        <v>111</v>
      </c>
      <c r="I2" s="12" t="s">
        <v>112</v>
      </c>
    </row>
    <row r="3" spans="1:9" hidden="1">
      <c r="A3" s="4">
        <v>6</v>
      </c>
      <c r="B3" s="14" t="s">
        <v>113</v>
      </c>
      <c r="C3" s="15" t="s">
        <v>114</v>
      </c>
      <c r="D3" s="15" t="s">
        <v>115</v>
      </c>
      <c r="E3" s="5" t="s">
        <v>116</v>
      </c>
      <c r="F3" s="6" t="s">
        <v>117</v>
      </c>
      <c r="G3" s="11">
        <f>SUMIFS('Nouveaux entrants'!E:E,'Nouveaux entrants'!A:A,'Suivi adhésion 20_21'!B3,'Nouveaux entrants'!B:B,'Suivi adhésion 20_21'!C3)</f>
        <v>0</v>
      </c>
      <c r="H3" s="5"/>
      <c r="I3" s="5" t="s">
        <v>118</v>
      </c>
    </row>
    <row r="4" spans="1:9">
      <c r="A4" s="4">
        <v>21</v>
      </c>
      <c r="B4" s="16"/>
      <c r="C4" s="17"/>
      <c r="D4" s="17"/>
      <c r="E4" s="7" t="s">
        <v>119</v>
      </c>
      <c r="F4" s="8" t="s">
        <v>117</v>
      </c>
      <c r="G4" s="11">
        <f>SUMIFS('Nouveaux entrants'!E:E,'Nouveaux entrants'!A:A,'Suivi adhésion 20_21'!B4,'Nouveaux entrants'!B:B,'Suivi adhésion 20_21'!C4)</f>
        <v>0</v>
      </c>
      <c r="H4" s="5" t="str">
        <f>IF(F4="Non Adhérent","X",IF(AND(F4="Annuel",G4=60),"Oui",IF(AND(F4="Semestriel",G4=35),"Oui","Non")))</f>
        <v>X</v>
      </c>
      <c r="I4" s="7" t="s">
        <v>118</v>
      </c>
    </row>
    <row r="5" spans="1:9">
      <c r="A5" s="4">
        <v>47</v>
      </c>
      <c r="B5" s="16"/>
      <c r="C5" s="17"/>
      <c r="D5" s="17"/>
      <c r="E5" s="7" t="s">
        <v>119</v>
      </c>
      <c r="F5" s="8" t="s">
        <v>120</v>
      </c>
      <c r="G5" s="11">
        <f>SUMIFS('Nouveaux entrants'!E:E,'Nouveaux entrants'!A:A,'Suivi adhésion 20_21'!B5,'Nouveaux entrants'!B:B,'Suivi adhésion 20_21'!C5)</f>
        <v>0</v>
      </c>
      <c r="H5" s="5" t="str">
        <f t="shared" ref="H5:H63" si="0">IF(F5="Non Adhérent","X",IF(AND(F5="Annuel",G5=60),"Oui",IF(AND(F5="Semestriel",G5=35),"Oui","Non")))</f>
        <v>Non</v>
      </c>
      <c r="I5" s="7" t="s">
        <v>121</v>
      </c>
    </row>
    <row r="6" spans="1:9">
      <c r="A6" s="4">
        <v>4</v>
      </c>
      <c r="B6" s="16"/>
      <c r="C6" s="17"/>
      <c r="D6" s="17"/>
      <c r="E6" s="7" t="s">
        <v>122</v>
      </c>
      <c r="F6" s="8" t="s">
        <v>120</v>
      </c>
      <c r="G6" s="11">
        <f>SUMIFS('Nouveaux entrants'!E:E,'Nouveaux entrants'!A:A,'Suivi adhésion 20_21'!B6,'Nouveaux entrants'!B:B,'Suivi adhésion 20_21'!C6)</f>
        <v>0</v>
      </c>
      <c r="H6" s="5" t="s">
        <v>121</v>
      </c>
      <c r="I6" s="7" t="s">
        <v>121</v>
      </c>
    </row>
    <row r="7" spans="1:9">
      <c r="A7" s="4">
        <v>46</v>
      </c>
      <c r="B7" s="16"/>
      <c r="C7" s="17"/>
      <c r="D7" s="17"/>
      <c r="E7" s="7"/>
      <c r="F7" s="8" t="s">
        <v>120</v>
      </c>
      <c r="G7" s="11">
        <f>SUMIFS('Nouveaux entrants'!E:E,'Nouveaux entrants'!A:A,'Suivi adhésion 20_21'!B7,'Nouveaux entrants'!B:B,'Suivi adhésion 20_21'!C7)</f>
        <v>0</v>
      </c>
      <c r="H7" s="5" t="str">
        <f t="shared" si="0"/>
        <v>Non</v>
      </c>
      <c r="I7" s="7" t="s">
        <v>121</v>
      </c>
    </row>
    <row r="8" spans="1:9">
      <c r="A8" s="4">
        <v>50</v>
      </c>
      <c r="B8" s="16"/>
      <c r="C8" s="17"/>
      <c r="D8" s="17"/>
      <c r="E8" s="7"/>
      <c r="F8" s="8" t="s">
        <v>120</v>
      </c>
      <c r="G8" s="11">
        <f>SUMIFS('Nouveaux entrants'!E:E,'Nouveaux entrants'!A:A,'Suivi adhésion 20_21'!B8,'Nouveaux entrants'!B:B,'Suivi adhésion 20_21'!C8)</f>
        <v>0</v>
      </c>
      <c r="H8" s="5" t="str">
        <f t="shared" si="0"/>
        <v>Non</v>
      </c>
      <c r="I8" s="7" t="s">
        <v>121</v>
      </c>
    </row>
    <row r="9" spans="1:9">
      <c r="A9" s="4">
        <v>54</v>
      </c>
      <c r="B9" s="16"/>
      <c r="C9" s="17"/>
      <c r="D9" s="17"/>
      <c r="E9" s="7" t="s">
        <v>122</v>
      </c>
      <c r="F9" s="8" t="s">
        <v>120</v>
      </c>
      <c r="G9" s="11">
        <f>SUMIFS('Nouveaux entrants'!E:E,'Nouveaux entrants'!A:A,'Suivi adhésion 20_21'!B9,'Nouveaux entrants'!B:B,'Suivi adhésion 20_21'!C9)</f>
        <v>0</v>
      </c>
      <c r="H9" s="5" t="str">
        <f t="shared" si="0"/>
        <v>Non</v>
      </c>
      <c r="I9" s="7" t="s">
        <v>121</v>
      </c>
    </row>
    <row r="10" spans="1:9">
      <c r="A10" s="4">
        <v>49</v>
      </c>
      <c r="B10" s="16"/>
      <c r="C10" s="17"/>
      <c r="D10" s="17"/>
      <c r="E10" s="7"/>
      <c r="F10" s="8" t="s">
        <v>117</v>
      </c>
      <c r="G10" s="11">
        <f>SUMIFS('Nouveaux entrants'!E:E,'Nouveaux entrants'!A:A,'Suivi adhésion 20_21'!B10,'Nouveaux entrants'!B:B,'Suivi adhésion 20_21'!C10)</f>
        <v>0</v>
      </c>
      <c r="H10" s="5" t="str">
        <f t="shared" si="0"/>
        <v>X</v>
      </c>
      <c r="I10" s="7" t="s">
        <v>118</v>
      </c>
    </row>
    <row r="11" spans="1:9">
      <c r="A11" s="4">
        <v>34</v>
      </c>
      <c r="B11" s="16"/>
      <c r="C11" s="17"/>
      <c r="D11" s="17"/>
      <c r="E11" s="7"/>
      <c r="F11" s="8" t="s">
        <v>117</v>
      </c>
      <c r="G11" s="11">
        <f>SUMIFS('Nouveaux entrants'!E:E,'Nouveaux entrants'!A:A,'Suivi adhésion 20_21'!B11,'Nouveaux entrants'!B:B,'Suivi adhésion 20_21'!C11)</f>
        <v>0</v>
      </c>
      <c r="H11" s="5" t="str">
        <f t="shared" si="0"/>
        <v>X</v>
      </c>
      <c r="I11" s="7" t="s">
        <v>118</v>
      </c>
    </row>
    <row r="12" spans="1:9">
      <c r="A12" s="4">
        <v>38</v>
      </c>
      <c r="B12" s="16"/>
      <c r="C12" s="17"/>
      <c r="D12" s="17"/>
      <c r="E12" s="7"/>
      <c r="F12" s="8" t="s">
        <v>120</v>
      </c>
      <c r="G12" s="11">
        <f>SUMIFS('Nouveaux entrants'!E:E,'Nouveaux entrants'!A:A,'Suivi adhésion 20_21'!B12,'Nouveaux entrants'!B:B,'Suivi adhésion 20_21'!C12)</f>
        <v>0</v>
      </c>
      <c r="H12" s="5" t="str">
        <f t="shared" si="0"/>
        <v>Non</v>
      </c>
      <c r="I12" s="7" t="s">
        <v>121</v>
      </c>
    </row>
    <row r="13" spans="1:9">
      <c r="A13" s="4">
        <v>57</v>
      </c>
      <c r="B13" s="16"/>
      <c r="C13" s="17"/>
      <c r="D13" s="17"/>
      <c r="E13" s="7"/>
      <c r="F13" s="8" t="s">
        <v>120</v>
      </c>
      <c r="G13" s="11">
        <f>SUMIFS('Nouveaux entrants'!E:E,'Nouveaux entrants'!A:A,'Suivi adhésion 20_21'!B13,'Nouveaux entrants'!B:B,'Suivi adhésion 20_21'!C13)</f>
        <v>0</v>
      </c>
      <c r="H13" s="5" t="str">
        <f t="shared" si="0"/>
        <v>Non</v>
      </c>
      <c r="I13" s="7" t="s">
        <v>121</v>
      </c>
    </row>
    <row r="14" spans="1:9">
      <c r="A14" s="4">
        <v>11</v>
      </c>
      <c r="B14" s="16"/>
      <c r="C14" s="17"/>
      <c r="D14" s="17"/>
      <c r="E14" s="7"/>
      <c r="F14" s="8" t="s">
        <v>120</v>
      </c>
      <c r="G14" s="11">
        <f>SUMIFS('Nouveaux entrants'!E:E,'Nouveaux entrants'!A:A,'Suivi adhésion 20_21'!B14,'Nouveaux entrants'!B:B,'Suivi adhésion 20_21'!C14)</f>
        <v>0</v>
      </c>
      <c r="H14" s="5" t="str">
        <f t="shared" si="0"/>
        <v>Non</v>
      </c>
      <c r="I14" s="7" t="s">
        <v>118</v>
      </c>
    </row>
    <row r="15" spans="1:9">
      <c r="A15" s="4">
        <v>52</v>
      </c>
      <c r="B15" s="16"/>
      <c r="C15" s="17"/>
      <c r="D15" s="17"/>
      <c r="E15" s="7"/>
      <c r="F15" s="8" t="s">
        <v>117</v>
      </c>
      <c r="G15" s="11">
        <f>SUMIFS('Nouveaux entrants'!E:E,'Nouveaux entrants'!A:A,'Suivi adhésion 20_21'!B15,'Nouveaux entrants'!B:B,'Suivi adhésion 20_21'!C15)</f>
        <v>0</v>
      </c>
      <c r="H15" s="5" t="str">
        <f t="shared" si="0"/>
        <v>X</v>
      </c>
      <c r="I15" s="7" t="s">
        <v>118</v>
      </c>
    </row>
    <row r="16" spans="1:9">
      <c r="A16" s="4">
        <v>8</v>
      </c>
      <c r="B16" s="16"/>
      <c r="C16" s="17"/>
      <c r="D16" s="17"/>
      <c r="E16" s="7"/>
      <c r="F16" s="8" t="s">
        <v>117</v>
      </c>
      <c r="G16" s="11">
        <f>SUMIFS('Nouveaux entrants'!E:E,'Nouveaux entrants'!A:A,'Suivi adhésion 20_21'!B16,'Nouveaux entrants'!B:B,'Suivi adhésion 20_21'!C16)</f>
        <v>0</v>
      </c>
      <c r="H16" s="5" t="str">
        <f t="shared" si="0"/>
        <v>X</v>
      </c>
      <c r="I16" s="7" t="s">
        <v>118</v>
      </c>
    </row>
    <row r="17" spans="1:9">
      <c r="A17" s="4">
        <v>43</v>
      </c>
      <c r="B17" s="16"/>
      <c r="C17" s="17"/>
      <c r="D17" s="17"/>
      <c r="E17" s="7"/>
      <c r="F17" s="8" t="s">
        <v>120</v>
      </c>
      <c r="G17" s="11">
        <f>SUMIFS('Nouveaux entrants'!E:E,'Nouveaux entrants'!A:A,'Suivi adhésion 20_21'!B17,'Nouveaux entrants'!B:B,'Suivi adhésion 20_21'!C17)</f>
        <v>0</v>
      </c>
      <c r="H17" s="5" t="str">
        <f t="shared" si="0"/>
        <v>Non</v>
      </c>
      <c r="I17" s="7" t="s">
        <v>121</v>
      </c>
    </row>
    <row r="18" spans="1:9">
      <c r="A18" s="4">
        <v>35</v>
      </c>
      <c r="B18" s="16"/>
      <c r="C18" s="17"/>
      <c r="D18" s="17"/>
      <c r="E18" s="7"/>
      <c r="F18" s="8" t="s">
        <v>117</v>
      </c>
      <c r="G18" s="11">
        <f>SUMIFS('Nouveaux entrants'!E:E,'Nouveaux entrants'!A:A,'Suivi adhésion 20_21'!B18,'Nouveaux entrants'!B:B,'Suivi adhésion 20_21'!C18)</f>
        <v>0</v>
      </c>
      <c r="H18" s="5" t="str">
        <f t="shared" si="0"/>
        <v>X</v>
      </c>
      <c r="I18" s="7" t="s">
        <v>118</v>
      </c>
    </row>
    <row r="19" spans="1:9">
      <c r="A19" s="4">
        <v>31</v>
      </c>
      <c r="B19" s="16"/>
      <c r="C19" s="17"/>
      <c r="D19" s="17"/>
      <c r="E19" s="7"/>
      <c r="F19" s="8" t="s">
        <v>117</v>
      </c>
      <c r="G19" s="11">
        <f>SUMIFS('Nouveaux entrants'!E:E,'Nouveaux entrants'!A:A,'Suivi adhésion 20_21'!B19,'Nouveaux entrants'!B:B,'Suivi adhésion 20_21'!C19)</f>
        <v>0</v>
      </c>
      <c r="H19" s="5" t="str">
        <f t="shared" si="0"/>
        <v>X</v>
      </c>
      <c r="I19" s="7" t="s">
        <v>118</v>
      </c>
    </row>
    <row r="20" spans="1:9">
      <c r="A20" s="4">
        <v>61</v>
      </c>
      <c r="B20" s="16"/>
      <c r="C20" s="17"/>
      <c r="D20" s="17"/>
      <c r="E20" s="7"/>
      <c r="F20" s="8" t="s">
        <v>117</v>
      </c>
      <c r="G20" s="11">
        <f>SUMIFS('Nouveaux entrants'!E:E,'Nouveaux entrants'!A:A,'Suivi adhésion 20_21'!B20,'Nouveaux entrants'!B:B,'Suivi adhésion 20_21'!C20)</f>
        <v>0</v>
      </c>
      <c r="H20" s="5" t="str">
        <f t="shared" si="0"/>
        <v>X</v>
      </c>
      <c r="I20" s="7" t="s">
        <v>118</v>
      </c>
    </row>
    <row r="21" spans="1:9">
      <c r="A21" s="4">
        <v>55</v>
      </c>
      <c r="B21" s="16"/>
      <c r="C21" s="17"/>
      <c r="D21" s="17"/>
      <c r="E21" s="7"/>
      <c r="F21" s="8" t="s">
        <v>120</v>
      </c>
      <c r="G21" s="11">
        <f>SUMIFS('Nouveaux entrants'!E:E,'Nouveaux entrants'!A:A,'Suivi adhésion 20_21'!B21,'Nouveaux entrants'!B:B,'Suivi adhésion 20_21'!C21)</f>
        <v>0</v>
      </c>
      <c r="H21" s="5" t="str">
        <f t="shared" si="0"/>
        <v>Non</v>
      </c>
      <c r="I21" s="7" t="s">
        <v>121</v>
      </c>
    </row>
    <row r="22" spans="1:9">
      <c r="A22" s="4">
        <v>37</v>
      </c>
      <c r="B22" s="16"/>
      <c r="C22" s="17"/>
      <c r="D22" s="17"/>
      <c r="E22" s="7"/>
      <c r="F22" s="8" t="s">
        <v>117</v>
      </c>
      <c r="G22" s="11">
        <f>SUMIFS('Nouveaux entrants'!E:E,'Nouveaux entrants'!A:A,'Suivi adhésion 20_21'!B22,'Nouveaux entrants'!B:B,'Suivi adhésion 20_21'!C22)</f>
        <v>0</v>
      </c>
      <c r="H22" s="5" t="str">
        <f t="shared" si="0"/>
        <v>X</v>
      </c>
      <c r="I22" s="7" t="s">
        <v>118</v>
      </c>
    </row>
    <row r="23" spans="1:9">
      <c r="A23" s="4">
        <v>13</v>
      </c>
      <c r="B23" s="16"/>
      <c r="C23" s="17"/>
      <c r="D23" s="17"/>
      <c r="E23" s="7"/>
      <c r="F23" s="8" t="s">
        <v>117</v>
      </c>
      <c r="G23" s="11">
        <f>SUMIFS('Nouveaux entrants'!E:E,'Nouveaux entrants'!A:A,'Suivi adhésion 20_21'!B23,'Nouveaux entrants'!B:B,'Suivi adhésion 20_21'!C23)</f>
        <v>0</v>
      </c>
      <c r="H23" s="5" t="str">
        <f t="shared" si="0"/>
        <v>X</v>
      </c>
      <c r="I23" s="7" t="s">
        <v>118</v>
      </c>
    </row>
    <row r="24" spans="1:9">
      <c r="A24" s="4">
        <v>48</v>
      </c>
      <c r="B24" s="16"/>
      <c r="C24" s="17"/>
      <c r="D24" s="17"/>
      <c r="E24" s="7"/>
      <c r="F24" s="8" t="s">
        <v>120</v>
      </c>
      <c r="G24" s="11">
        <f>SUMIFS('Nouveaux entrants'!E:E,'Nouveaux entrants'!A:A,'Suivi adhésion 20_21'!B24,'Nouveaux entrants'!B:B,'Suivi adhésion 20_21'!C24)</f>
        <v>0</v>
      </c>
      <c r="H24" s="5" t="str">
        <f t="shared" si="0"/>
        <v>Non</v>
      </c>
      <c r="I24" s="7" t="s">
        <v>121</v>
      </c>
    </row>
    <row r="25" spans="1:9">
      <c r="A25" s="4">
        <v>53</v>
      </c>
      <c r="B25" s="16"/>
      <c r="C25" s="17"/>
      <c r="D25" s="17"/>
      <c r="E25" s="7"/>
      <c r="F25" s="8" t="s">
        <v>120</v>
      </c>
      <c r="G25" s="11">
        <f>SUMIFS('Nouveaux entrants'!E:E,'Nouveaux entrants'!A:A,'Suivi adhésion 20_21'!B25,'Nouveaux entrants'!B:B,'Suivi adhésion 20_21'!C25)</f>
        <v>0</v>
      </c>
      <c r="H25" s="5" t="str">
        <f t="shared" si="0"/>
        <v>Non</v>
      </c>
      <c r="I25" s="7" t="s">
        <v>121</v>
      </c>
    </row>
    <row r="26" spans="1:9">
      <c r="A26" s="4">
        <v>29</v>
      </c>
      <c r="B26" s="16"/>
      <c r="C26" s="17"/>
      <c r="D26" s="17"/>
      <c r="E26" s="7"/>
      <c r="F26" s="8" t="s">
        <v>117</v>
      </c>
      <c r="G26" s="11">
        <f>SUMIFS('Nouveaux entrants'!E:E,'Nouveaux entrants'!A:A,'Suivi adhésion 20_21'!B26,'Nouveaux entrants'!B:B,'Suivi adhésion 20_21'!C26)</f>
        <v>0</v>
      </c>
      <c r="H26" s="5" t="str">
        <f t="shared" si="0"/>
        <v>X</v>
      </c>
      <c r="I26" s="7" t="s">
        <v>118</v>
      </c>
    </row>
    <row r="27" spans="1:9">
      <c r="A27" s="4">
        <v>26</v>
      </c>
      <c r="B27" s="16"/>
      <c r="C27" s="17"/>
      <c r="D27" s="17"/>
      <c r="E27" s="7"/>
      <c r="F27" s="8" t="s">
        <v>117</v>
      </c>
      <c r="G27" s="11">
        <f>SUMIFS('Nouveaux entrants'!E:E,'Nouveaux entrants'!A:A,'Suivi adhésion 20_21'!B27,'Nouveaux entrants'!B:B,'Suivi adhésion 20_21'!C27)</f>
        <v>0</v>
      </c>
      <c r="H27" s="5" t="str">
        <f t="shared" si="0"/>
        <v>X</v>
      </c>
      <c r="I27" s="7" t="s">
        <v>118</v>
      </c>
    </row>
    <row r="28" spans="1:9">
      <c r="A28" s="4">
        <v>56</v>
      </c>
      <c r="B28" s="16"/>
      <c r="C28" s="17"/>
      <c r="D28" s="17"/>
      <c r="E28" s="7"/>
      <c r="F28" s="8" t="s">
        <v>117</v>
      </c>
      <c r="G28" s="11">
        <f>SUMIFS('Nouveaux entrants'!E:E,'Nouveaux entrants'!A:A,'Suivi adhésion 20_21'!B28,'Nouveaux entrants'!B:B,'Suivi adhésion 20_21'!C28)</f>
        <v>0</v>
      </c>
      <c r="H28" s="5" t="str">
        <f t="shared" si="0"/>
        <v>X</v>
      </c>
      <c r="I28" s="7" t="s">
        <v>118</v>
      </c>
    </row>
    <row r="29" spans="1:9">
      <c r="A29" s="4">
        <v>18</v>
      </c>
      <c r="B29" s="16"/>
      <c r="C29" s="17"/>
      <c r="D29" s="17"/>
      <c r="E29" s="7"/>
      <c r="F29" s="8" t="s">
        <v>117</v>
      </c>
      <c r="G29" s="11">
        <f>SUMIFS('Nouveaux entrants'!E:E,'Nouveaux entrants'!A:A,'Suivi adhésion 20_21'!B29,'Nouveaux entrants'!B:B,'Suivi adhésion 20_21'!C29)</f>
        <v>0</v>
      </c>
      <c r="H29" s="5" t="str">
        <f t="shared" si="0"/>
        <v>X</v>
      </c>
      <c r="I29" s="7" t="s">
        <v>118</v>
      </c>
    </row>
    <row r="30" spans="1:9">
      <c r="A30" s="4">
        <v>25</v>
      </c>
      <c r="B30" s="16"/>
      <c r="C30" s="17"/>
      <c r="D30" s="17"/>
      <c r="E30" s="7"/>
      <c r="F30" s="8" t="s">
        <v>120</v>
      </c>
      <c r="G30" s="11">
        <f>SUMIFS('Nouveaux entrants'!E:E,'Nouveaux entrants'!A:A,'Suivi adhésion 20_21'!B30,'Nouveaux entrants'!B:B,'Suivi adhésion 20_21'!C30)</f>
        <v>0</v>
      </c>
      <c r="H30" s="5" t="str">
        <f t="shared" si="0"/>
        <v>Non</v>
      </c>
      <c r="I30" s="7" t="s">
        <v>121</v>
      </c>
    </row>
    <row r="31" spans="1:9">
      <c r="A31" s="4">
        <v>2</v>
      </c>
      <c r="B31" s="16"/>
      <c r="C31" s="17"/>
      <c r="D31" s="17"/>
      <c r="E31" s="7"/>
      <c r="F31" s="8" t="s">
        <v>117</v>
      </c>
      <c r="G31" s="11">
        <f>SUMIFS('Nouveaux entrants'!E:E,'Nouveaux entrants'!A:A,'Suivi adhésion 20_21'!B31,'Nouveaux entrants'!B:B,'Suivi adhésion 20_21'!C31)</f>
        <v>0</v>
      </c>
      <c r="H31" s="5" t="str">
        <f t="shared" si="0"/>
        <v>X</v>
      </c>
      <c r="I31" s="7" t="s">
        <v>118</v>
      </c>
    </row>
    <row r="32" spans="1:9">
      <c r="A32" s="4">
        <v>23</v>
      </c>
      <c r="B32" s="16"/>
      <c r="C32" s="17"/>
      <c r="D32" s="17"/>
      <c r="E32" s="7"/>
      <c r="F32" s="8" t="s">
        <v>117</v>
      </c>
      <c r="G32" s="11">
        <f>SUMIFS('Nouveaux entrants'!E:E,'Nouveaux entrants'!A:A,'Suivi adhésion 20_21'!B32,'Nouveaux entrants'!B:B,'Suivi adhésion 20_21'!C32)</f>
        <v>0</v>
      </c>
      <c r="H32" s="5" t="str">
        <f t="shared" si="0"/>
        <v>X</v>
      </c>
      <c r="I32" s="7" t="s">
        <v>118</v>
      </c>
    </row>
    <row r="33" spans="1:9">
      <c r="A33" s="4">
        <v>30</v>
      </c>
      <c r="B33" s="16"/>
      <c r="C33" s="17"/>
      <c r="D33" s="17"/>
      <c r="E33" s="7"/>
      <c r="F33" s="8" t="s">
        <v>120</v>
      </c>
      <c r="G33" s="11">
        <f>SUMIFS('Nouveaux entrants'!E:E,'Nouveaux entrants'!A:A,'Suivi adhésion 20_21'!B33,'Nouveaux entrants'!B:B,'Suivi adhésion 20_21'!C33)</f>
        <v>0</v>
      </c>
      <c r="H33" s="5" t="str">
        <f t="shared" si="0"/>
        <v>Non</v>
      </c>
      <c r="I33" s="7" t="s">
        <v>121</v>
      </c>
    </row>
    <row r="34" spans="1:9">
      <c r="A34" s="4">
        <v>40</v>
      </c>
      <c r="B34" s="16"/>
      <c r="C34" s="17"/>
      <c r="D34" s="17"/>
      <c r="E34" s="7"/>
      <c r="F34" s="8" t="s">
        <v>120</v>
      </c>
      <c r="G34" s="11">
        <f>SUMIFS('Nouveaux entrants'!E:E,'Nouveaux entrants'!A:A,'Suivi adhésion 20_21'!B34,'Nouveaux entrants'!B:B,'Suivi adhésion 20_21'!C34)</f>
        <v>0</v>
      </c>
      <c r="H34" s="5" t="str">
        <f t="shared" si="0"/>
        <v>Non</v>
      </c>
      <c r="I34" s="7" t="s">
        <v>121</v>
      </c>
    </row>
    <row r="35" spans="1:9">
      <c r="A35" s="4">
        <v>41</v>
      </c>
      <c r="B35" s="16"/>
      <c r="C35" s="17"/>
      <c r="D35" s="17"/>
      <c r="E35" s="7"/>
      <c r="F35" s="8" t="s">
        <v>120</v>
      </c>
      <c r="G35" s="11">
        <f>SUMIFS('Nouveaux entrants'!E:E,'Nouveaux entrants'!A:A,'Suivi adhésion 20_21'!B35,'Nouveaux entrants'!B:B,'Suivi adhésion 20_21'!C35)</f>
        <v>0</v>
      </c>
      <c r="H35" s="5" t="str">
        <f t="shared" si="0"/>
        <v>Non</v>
      </c>
      <c r="I35" s="7" t="s">
        <v>121</v>
      </c>
    </row>
    <row r="36" spans="1:9">
      <c r="A36" s="4">
        <v>45</v>
      </c>
      <c r="B36" s="16"/>
      <c r="C36" s="17"/>
      <c r="D36" s="17"/>
      <c r="E36" s="7"/>
      <c r="F36" s="8" t="s">
        <v>120</v>
      </c>
      <c r="G36" s="11">
        <f>SUMIFS('Nouveaux entrants'!E:E,'Nouveaux entrants'!A:A,'Suivi adhésion 20_21'!B36,'Nouveaux entrants'!B:B,'Suivi adhésion 20_21'!C36)</f>
        <v>0</v>
      </c>
      <c r="H36" s="5" t="str">
        <f t="shared" si="0"/>
        <v>Non</v>
      </c>
      <c r="I36" s="7" t="s">
        <v>121</v>
      </c>
    </row>
    <row r="37" spans="1:9">
      <c r="A37" s="4">
        <v>12</v>
      </c>
      <c r="B37" s="16"/>
      <c r="C37" s="17"/>
      <c r="D37" s="17"/>
      <c r="E37" s="7"/>
      <c r="F37" s="8" t="s">
        <v>117</v>
      </c>
      <c r="G37" s="11">
        <f>SUMIFS('Nouveaux entrants'!E:E,'Nouveaux entrants'!A:A,'Suivi adhésion 20_21'!B37,'Nouveaux entrants'!B:B,'Suivi adhésion 20_21'!C37)</f>
        <v>0</v>
      </c>
      <c r="H37" s="5" t="str">
        <f t="shared" si="0"/>
        <v>X</v>
      </c>
      <c r="I37" s="7" t="s">
        <v>118</v>
      </c>
    </row>
    <row r="38" spans="1:9">
      <c r="A38" s="4">
        <v>20</v>
      </c>
      <c r="B38" s="16"/>
      <c r="C38" s="17"/>
      <c r="D38" s="17"/>
      <c r="E38" s="7"/>
      <c r="F38" s="8" t="s">
        <v>117</v>
      </c>
      <c r="G38" s="11">
        <f>SUMIFS('Nouveaux entrants'!E:E,'Nouveaux entrants'!A:A,'Suivi adhésion 20_21'!B38,'Nouveaux entrants'!B:B,'Suivi adhésion 20_21'!C38)</f>
        <v>0</v>
      </c>
      <c r="H38" s="5" t="str">
        <f t="shared" si="0"/>
        <v>X</v>
      </c>
      <c r="I38" s="7" t="s">
        <v>118</v>
      </c>
    </row>
    <row r="39" spans="1:9">
      <c r="A39" s="4">
        <v>17</v>
      </c>
      <c r="B39" s="16"/>
      <c r="C39" s="17"/>
      <c r="D39" s="17"/>
      <c r="E39" s="7"/>
      <c r="F39" s="8" t="s">
        <v>117</v>
      </c>
      <c r="G39" s="11">
        <f>SUMIFS('Nouveaux entrants'!E:E,'Nouveaux entrants'!A:A,'Suivi adhésion 20_21'!B39,'Nouveaux entrants'!B:B,'Suivi adhésion 20_21'!C39)</f>
        <v>0</v>
      </c>
      <c r="H39" s="5" t="str">
        <f t="shared" si="0"/>
        <v>X</v>
      </c>
      <c r="I39" s="7" t="s">
        <v>118</v>
      </c>
    </row>
    <row r="40" spans="1:9">
      <c r="A40" s="4">
        <v>33</v>
      </c>
      <c r="B40" s="16"/>
      <c r="C40" s="17"/>
      <c r="D40" s="17"/>
      <c r="E40" s="7"/>
      <c r="F40" s="8" t="s">
        <v>117</v>
      </c>
      <c r="G40" s="11">
        <f>SUMIFS('Nouveaux entrants'!E:E,'Nouveaux entrants'!A:A,'Suivi adhésion 20_21'!B40,'Nouveaux entrants'!B:B,'Suivi adhésion 20_21'!C40)</f>
        <v>0</v>
      </c>
      <c r="H40" s="5" t="str">
        <f t="shared" si="0"/>
        <v>X</v>
      </c>
      <c r="I40" s="7" t="s">
        <v>118</v>
      </c>
    </row>
    <row r="41" spans="1:9">
      <c r="A41" s="4">
        <v>44</v>
      </c>
      <c r="B41" s="16"/>
      <c r="C41" s="17"/>
      <c r="D41" s="17"/>
      <c r="E41" s="7"/>
      <c r="F41" s="8" t="s">
        <v>117</v>
      </c>
      <c r="G41" s="11">
        <f>SUMIFS('Nouveaux entrants'!E:E,'Nouveaux entrants'!A:A,'Suivi adhésion 20_21'!B41,'Nouveaux entrants'!B:B,'Suivi adhésion 20_21'!C41)</f>
        <v>0</v>
      </c>
      <c r="H41" s="5" t="str">
        <f t="shared" si="0"/>
        <v>X</v>
      </c>
      <c r="I41" s="7" t="s">
        <v>118</v>
      </c>
    </row>
    <row r="42" spans="1:9">
      <c r="A42" s="4">
        <v>22</v>
      </c>
      <c r="B42" s="16"/>
      <c r="C42" s="17"/>
      <c r="D42" s="17"/>
      <c r="E42" s="7"/>
      <c r="F42" s="8" t="s">
        <v>117</v>
      </c>
      <c r="G42" s="11">
        <f>SUMIFS('Nouveaux entrants'!E:E,'Nouveaux entrants'!A:A,'Suivi adhésion 20_21'!B42,'Nouveaux entrants'!B:B,'Suivi adhésion 20_21'!C42)</f>
        <v>0</v>
      </c>
      <c r="H42" s="5" t="str">
        <f t="shared" si="0"/>
        <v>X</v>
      </c>
      <c r="I42" s="7" t="s">
        <v>118</v>
      </c>
    </row>
    <row r="43" spans="1:9">
      <c r="A43" s="4">
        <v>7</v>
      </c>
      <c r="B43" s="16"/>
      <c r="C43" s="17"/>
      <c r="D43" s="17"/>
      <c r="E43" s="7"/>
      <c r="F43" s="8" t="s">
        <v>117</v>
      </c>
      <c r="G43" s="11">
        <f>SUMIFS('Nouveaux entrants'!E:E,'Nouveaux entrants'!A:A,'Suivi adhésion 20_21'!B43,'Nouveaux entrants'!B:B,'Suivi adhésion 20_21'!C43)</f>
        <v>0</v>
      </c>
      <c r="H43" s="5" t="str">
        <f t="shared" si="0"/>
        <v>X</v>
      </c>
      <c r="I43" s="7" t="s">
        <v>118</v>
      </c>
    </row>
    <row r="44" spans="1:9">
      <c r="A44" s="4">
        <v>1</v>
      </c>
      <c r="B44" s="16"/>
      <c r="C44" s="17"/>
      <c r="D44" s="17"/>
      <c r="E44" s="7"/>
      <c r="F44" s="8" t="s">
        <v>117</v>
      </c>
      <c r="G44" s="11">
        <f>SUMIFS('Nouveaux entrants'!E:E,'Nouveaux entrants'!A:A,'Suivi adhésion 20_21'!B44,'Nouveaux entrants'!B:B,'Suivi adhésion 20_21'!C44)</f>
        <v>0</v>
      </c>
      <c r="H44" s="5" t="str">
        <f t="shared" si="0"/>
        <v>X</v>
      </c>
      <c r="I44" s="7" t="s">
        <v>118</v>
      </c>
    </row>
    <row r="45" spans="1:9">
      <c r="A45" s="4">
        <v>16</v>
      </c>
      <c r="B45" s="16"/>
      <c r="C45" s="17"/>
      <c r="D45" s="17"/>
      <c r="E45" s="7"/>
      <c r="F45" s="8" t="s">
        <v>117</v>
      </c>
      <c r="G45" s="11">
        <f>SUMIFS('Nouveaux entrants'!E:E,'Nouveaux entrants'!A:A,'Suivi adhésion 20_21'!B45,'Nouveaux entrants'!B:B,'Suivi adhésion 20_21'!C45)</f>
        <v>0</v>
      </c>
      <c r="H45" s="5" t="str">
        <f t="shared" si="0"/>
        <v>X</v>
      </c>
      <c r="I45" s="7" t="s">
        <v>118</v>
      </c>
    </row>
    <row r="46" spans="1:9">
      <c r="A46" s="4">
        <v>24</v>
      </c>
      <c r="B46" s="16"/>
      <c r="C46" s="17"/>
      <c r="D46" s="17"/>
      <c r="E46" s="7"/>
      <c r="F46" s="8" t="s">
        <v>117</v>
      </c>
      <c r="G46" s="11">
        <f>SUMIFS('Nouveaux entrants'!E:E,'Nouveaux entrants'!A:A,'Suivi adhésion 20_21'!B46,'Nouveaux entrants'!B:B,'Suivi adhésion 20_21'!C46)</f>
        <v>0</v>
      </c>
      <c r="H46" s="5" t="str">
        <f t="shared" si="0"/>
        <v>X</v>
      </c>
      <c r="I46" s="7" t="s">
        <v>118</v>
      </c>
    </row>
    <row r="47" spans="1:9">
      <c r="A47" s="4">
        <v>27</v>
      </c>
      <c r="B47" s="16"/>
      <c r="C47" s="17"/>
      <c r="D47" s="17"/>
      <c r="E47" s="7"/>
      <c r="F47" s="8" t="s">
        <v>117</v>
      </c>
      <c r="G47" s="11">
        <f>SUMIFS('Nouveaux entrants'!E:E,'Nouveaux entrants'!A:A,'Suivi adhésion 20_21'!B47,'Nouveaux entrants'!B:B,'Suivi adhésion 20_21'!C47)</f>
        <v>0</v>
      </c>
      <c r="H47" s="5" t="str">
        <f t="shared" si="0"/>
        <v>X</v>
      </c>
      <c r="I47" s="7" t="s">
        <v>118</v>
      </c>
    </row>
    <row r="48" spans="1:9">
      <c r="A48" s="4">
        <v>3</v>
      </c>
      <c r="B48" s="16"/>
      <c r="C48" s="17"/>
      <c r="D48" s="17"/>
      <c r="E48" s="7"/>
      <c r="F48" s="8" t="s">
        <v>117</v>
      </c>
      <c r="G48" s="11">
        <f>SUMIFS('Nouveaux entrants'!E:E,'Nouveaux entrants'!A:A,'Suivi adhésion 20_21'!B48,'Nouveaux entrants'!B:B,'Suivi adhésion 20_21'!C48)</f>
        <v>0</v>
      </c>
      <c r="H48" s="5" t="str">
        <f t="shared" si="0"/>
        <v>X</v>
      </c>
      <c r="I48" s="7" t="s">
        <v>118</v>
      </c>
    </row>
    <row r="49" spans="1:9">
      <c r="A49" s="4">
        <v>60</v>
      </c>
      <c r="B49" s="16"/>
      <c r="C49" s="17"/>
      <c r="D49" s="17"/>
      <c r="E49" s="7"/>
      <c r="F49" s="8" t="s">
        <v>120</v>
      </c>
      <c r="G49" s="11">
        <f>SUMIFS('Nouveaux entrants'!E:E,'Nouveaux entrants'!A:A,'Suivi adhésion 20_21'!B49,'Nouveaux entrants'!B:B,'Suivi adhésion 20_21'!C49)</f>
        <v>0</v>
      </c>
      <c r="H49" s="5" t="str">
        <f t="shared" si="0"/>
        <v>Non</v>
      </c>
      <c r="I49" s="7" t="s">
        <v>121</v>
      </c>
    </row>
    <row r="50" spans="1:9">
      <c r="A50" s="4">
        <v>58</v>
      </c>
      <c r="B50" s="16"/>
      <c r="C50" s="17"/>
      <c r="D50" s="17"/>
      <c r="E50" s="7"/>
      <c r="F50" s="8" t="s">
        <v>117</v>
      </c>
      <c r="G50" s="11">
        <f>SUMIFS('Nouveaux entrants'!E:E,'Nouveaux entrants'!A:A,'Suivi adhésion 20_21'!B50,'Nouveaux entrants'!B:B,'Suivi adhésion 20_21'!C50)</f>
        <v>0</v>
      </c>
      <c r="H50" s="5" t="str">
        <f t="shared" si="0"/>
        <v>X</v>
      </c>
      <c r="I50" s="7" t="s">
        <v>118</v>
      </c>
    </row>
    <row r="51" spans="1:9">
      <c r="A51" s="4">
        <v>51</v>
      </c>
      <c r="B51" s="16"/>
      <c r="C51" s="17"/>
      <c r="D51" s="17"/>
      <c r="E51" s="7"/>
      <c r="F51" s="8" t="s">
        <v>120</v>
      </c>
      <c r="G51" s="11">
        <f>SUMIFS('Nouveaux entrants'!E:E,'Nouveaux entrants'!A:A,'Suivi adhésion 20_21'!B51,'Nouveaux entrants'!B:B,'Suivi adhésion 20_21'!C51)</f>
        <v>0</v>
      </c>
      <c r="H51" s="5" t="str">
        <f t="shared" si="0"/>
        <v>Non</v>
      </c>
      <c r="I51" s="7" t="s">
        <v>121</v>
      </c>
    </row>
    <row r="52" spans="1:9">
      <c r="A52" s="4">
        <v>14</v>
      </c>
      <c r="B52" s="16"/>
      <c r="C52" s="17"/>
      <c r="D52" s="17"/>
      <c r="E52" s="7"/>
      <c r="F52" s="8" t="s">
        <v>117</v>
      </c>
      <c r="G52" s="11">
        <f>SUMIFS('Nouveaux entrants'!E:E,'Nouveaux entrants'!A:A,'Suivi adhésion 20_21'!B52,'Nouveaux entrants'!B:B,'Suivi adhésion 20_21'!C52)</f>
        <v>0</v>
      </c>
      <c r="H52" s="5" t="str">
        <f t="shared" si="0"/>
        <v>X</v>
      </c>
      <c r="I52" s="7" t="s">
        <v>118</v>
      </c>
    </row>
    <row r="53" spans="1:9">
      <c r="A53" s="4">
        <v>32</v>
      </c>
      <c r="B53" s="16"/>
      <c r="C53" s="17"/>
      <c r="D53" s="17"/>
      <c r="E53" s="7"/>
      <c r="F53" s="8" t="s">
        <v>120</v>
      </c>
      <c r="G53" s="11">
        <f>SUMIFS('Nouveaux entrants'!E:E,'Nouveaux entrants'!A:A,'Suivi adhésion 20_21'!B53,'Nouveaux entrants'!B:B,'Suivi adhésion 20_21'!C53)</f>
        <v>0</v>
      </c>
      <c r="H53" s="5" t="str">
        <f t="shared" si="0"/>
        <v>Non</v>
      </c>
      <c r="I53" s="7" t="s">
        <v>121</v>
      </c>
    </row>
    <row r="54" spans="1:9">
      <c r="A54" s="4">
        <v>15</v>
      </c>
      <c r="B54" s="16"/>
      <c r="C54" s="17"/>
      <c r="D54" s="17"/>
      <c r="E54" s="7"/>
      <c r="F54" s="8" t="s">
        <v>117</v>
      </c>
      <c r="G54" s="11">
        <f>SUMIFS('Nouveaux entrants'!E:E,'Nouveaux entrants'!A:A,'Suivi adhésion 20_21'!B54,'Nouveaux entrants'!B:B,'Suivi adhésion 20_21'!C54)</f>
        <v>0</v>
      </c>
      <c r="H54" s="5" t="str">
        <f t="shared" si="0"/>
        <v>X</v>
      </c>
      <c r="I54" s="7" t="s">
        <v>118</v>
      </c>
    </row>
    <row r="55" spans="1:9">
      <c r="A55" s="4">
        <v>10</v>
      </c>
      <c r="B55" s="16"/>
      <c r="C55" s="17"/>
      <c r="D55" s="17"/>
      <c r="E55" s="7"/>
      <c r="F55" s="8" t="s">
        <v>117</v>
      </c>
      <c r="G55" s="11">
        <f>SUMIFS('Nouveaux entrants'!E:E,'Nouveaux entrants'!A:A,'Suivi adhésion 20_21'!B55,'Nouveaux entrants'!B:B,'Suivi adhésion 20_21'!C55)</f>
        <v>0</v>
      </c>
      <c r="H55" s="5" t="str">
        <f t="shared" si="0"/>
        <v>X</v>
      </c>
      <c r="I55" s="7" t="s">
        <v>118</v>
      </c>
    </row>
    <row r="56" spans="1:9">
      <c r="A56" s="4">
        <v>39</v>
      </c>
      <c r="B56" s="16"/>
      <c r="C56" s="17"/>
      <c r="D56" s="17"/>
      <c r="E56" s="7"/>
      <c r="F56" s="8" t="s">
        <v>117</v>
      </c>
      <c r="G56" s="11">
        <f>SUMIFS('Nouveaux entrants'!E:E,'Nouveaux entrants'!A:A,'Suivi adhésion 20_21'!B56,'Nouveaux entrants'!B:B,'Suivi adhésion 20_21'!C56)</f>
        <v>0</v>
      </c>
      <c r="H56" s="5" t="str">
        <f t="shared" si="0"/>
        <v>X</v>
      </c>
      <c r="I56" s="7" t="s">
        <v>118</v>
      </c>
    </row>
    <row r="57" spans="1:9">
      <c r="A57" s="4">
        <v>36</v>
      </c>
      <c r="B57" s="16"/>
      <c r="C57" s="17"/>
      <c r="D57" s="17"/>
      <c r="E57" s="7"/>
      <c r="F57" s="8" t="s">
        <v>117</v>
      </c>
      <c r="G57" s="11">
        <f>SUMIFS('Nouveaux entrants'!E:E,'Nouveaux entrants'!A:A,'Suivi adhésion 20_21'!B57,'Nouveaux entrants'!B:B,'Suivi adhésion 20_21'!C57)</f>
        <v>0</v>
      </c>
      <c r="H57" s="5" t="str">
        <f t="shared" si="0"/>
        <v>X</v>
      </c>
      <c r="I57" s="7" t="s">
        <v>118</v>
      </c>
    </row>
    <row r="58" spans="1:9">
      <c r="A58" s="4">
        <v>59</v>
      </c>
      <c r="B58" s="16"/>
      <c r="C58" s="17"/>
      <c r="D58" s="17"/>
      <c r="E58" s="7"/>
      <c r="F58" s="8" t="s">
        <v>117</v>
      </c>
      <c r="G58" s="11">
        <f>SUMIFS('Nouveaux entrants'!E:E,'Nouveaux entrants'!A:A,'Suivi adhésion 20_21'!B58,'Nouveaux entrants'!B:B,'Suivi adhésion 20_21'!C58)</f>
        <v>0</v>
      </c>
      <c r="H58" s="5" t="str">
        <f t="shared" si="0"/>
        <v>X</v>
      </c>
      <c r="I58" s="7" t="s">
        <v>118</v>
      </c>
    </row>
    <row r="59" spans="1:9">
      <c r="A59" s="4">
        <v>5</v>
      </c>
      <c r="B59" s="16"/>
      <c r="C59" s="17"/>
      <c r="D59" s="17"/>
      <c r="E59" s="7"/>
      <c r="F59" s="8" t="s">
        <v>117</v>
      </c>
      <c r="G59" s="11">
        <f>SUMIFS('Nouveaux entrants'!E:E,'Nouveaux entrants'!A:A,'Suivi adhésion 20_21'!B59,'Nouveaux entrants'!B:B,'Suivi adhésion 20_21'!C59)</f>
        <v>0</v>
      </c>
      <c r="H59" s="5" t="str">
        <f t="shared" si="0"/>
        <v>X</v>
      </c>
      <c r="I59" s="7" t="s">
        <v>118</v>
      </c>
    </row>
    <row r="60" spans="1:9">
      <c r="A60" s="4">
        <v>9</v>
      </c>
      <c r="B60" s="16"/>
      <c r="C60" s="17"/>
      <c r="D60" s="17"/>
      <c r="E60" s="7"/>
      <c r="F60" s="8" t="s">
        <v>120</v>
      </c>
      <c r="G60" s="11">
        <f>SUMIFS('Nouveaux entrants'!E:E,'Nouveaux entrants'!A:A,'Suivi adhésion 20_21'!B60,'Nouveaux entrants'!B:B,'Suivi adhésion 20_21'!C60)</f>
        <v>0</v>
      </c>
      <c r="H60" s="5" t="str">
        <f t="shared" si="0"/>
        <v>Non</v>
      </c>
      <c r="I60" s="7" t="s">
        <v>121</v>
      </c>
    </row>
    <row r="61" spans="1:9">
      <c r="A61" s="4">
        <v>28</v>
      </c>
      <c r="B61" s="16"/>
      <c r="C61" s="17"/>
      <c r="D61" s="17"/>
      <c r="E61" s="7"/>
      <c r="F61" s="8" t="s">
        <v>120</v>
      </c>
      <c r="G61" s="11">
        <f>SUMIFS('Nouveaux entrants'!E:E,'Nouveaux entrants'!A:A,'Suivi adhésion 20_21'!B61,'Nouveaux entrants'!B:B,'Suivi adhésion 20_21'!C61)</f>
        <v>0</v>
      </c>
      <c r="H61" s="5" t="str">
        <f t="shared" si="0"/>
        <v>Non</v>
      </c>
      <c r="I61" s="7" t="s">
        <v>121</v>
      </c>
    </row>
    <row r="62" spans="1:9">
      <c r="A62" s="4">
        <v>42</v>
      </c>
      <c r="B62" s="16"/>
      <c r="C62" s="17"/>
      <c r="D62" s="17"/>
      <c r="E62" s="7"/>
      <c r="F62" s="8" t="s">
        <v>123</v>
      </c>
      <c r="G62" s="11">
        <f>SUMIFS('Nouveaux entrants'!E:E,'Nouveaux entrants'!A:A,'Suivi adhésion 20_21'!B62,'Nouveaux entrants'!B:B,'Suivi adhésion 20_21'!C62)</f>
        <v>0</v>
      </c>
      <c r="H62" s="5" t="str">
        <f t="shared" si="0"/>
        <v>Non</v>
      </c>
      <c r="I62" s="7" t="s">
        <v>121</v>
      </c>
    </row>
    <row r="63" spans="1:9">
      <c r="A63" s="4">
        <v>19</v>
      </c>
      <c r="B63" s="18"/>
      <c r="C63" s="19"/>
      <c r="D63" s="19"/>
      <c r="E63" s="9"/>
      <c r="F63" s="10" t="s">
        <v>117</v>
      </c>
      <c r="G63" s="11">
        <f>SUMIFS('Nouveaux entrants'!E:E,'Nouveaux entrants'!A:A,'Suivi adhésion 20_21'!B63,'Nouveaux entrants'!B:B,'Suivi adhésion 20_21'!C63)</f>
        <v>0</v>
      </c>
      <c r="H63" s="5" t="str">
        <f t="shared" si="0"/>
        <v>X</v>
      </c>
      <c r="I63" s="9" t="s">
        <v>118</v>
      </c>
    </row>
    <row r="64" spans="1:9">
      <c r="F64" s="1" t="s">
        <v>124</v>
      </c>
      <c r="G64" s="20">
        <f>SUM(G4:G63)</f>
        <v>0</v>
      </c>
    </row>
  </sheetData>
  <autoFilter ref="A2:I63" xr:uid="{E19CE850-8C1E-4969-A78B-5CF28881EE0A}">
    <filterColumn colId="7">
      <customFilters>
        <customFilter operator="notEqual" val=" "/>
      </customFilters>
    </filterColumn>
    <sortState xmlns:xlrd2="http://schemas.microsoft.com/office/spreadsheetml/2017/richdata2" ref="A3:I63">
      <sortCondition ref="B2:B63"/>
    </sortState>
  </autoFilter>
  <mergeCells count="1">
    <mergeCell ref="B1:I1"/>
  </mergeCells>
  <conditionalFormatting sqref="H3:H63">
    <cfRule type="cellIs" dxfId="2" priority="13" operator="equal">
      <formula>"Non"</formula>
    </cfRule>
    <cfRule type="cellIs" dxfId="1" priority="14" operator="equal">
      <formula>"Oui"</formula>
    </cfRule>
  </conditionalFormatting>
  <conditionalFormatting sqref="G3:G100">
    <cfRule type="expression" dxfId="0" priority="3">
      <formula>(AND(G13="Annuel",G13&lt;&gt;60))</formula>
    </cfRule>
  </conditionalFormatting>
  <pageMargins left="0.7" right="0.7" top="0.75" bottom="0.75" header="0.3" footer="0.3"/>
  <pageSetup paperSize="9" scale="55"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31467E-7605-4357-87F5-D76B7A484E60}">
          <x14:formula1>
            <xm:f>Source!$A$1:$A$3</xm:f>
          </x14:formula1>
          <xm:sqref>H3:I63</xm:sqref>
        </x14:dataValidation>
        <x14:dataValidation type="list" allowBlank="1" showInputMessage="1" showErrorMessage="1" xr:uid="{23BB3910-08AE-489F-A041-D0305EE306B0}">
          <x14:formula1>
            <xm:f>Source!$B$1:$B$4</xm:f>
          </x14:formula1>
          <xm:sqref>E3:E63</xm:sqref>
        </x14:dataValidation>
        <x14:dataValidation type="list" allowBlank="1" showInputMessage="1" showErrorMessage="1" xr:uid="{7D4A2E62-0805-4E1A-97DB-BBC31D8A6834}">
          <x14:formula1>
            <xm:f>Source!$C$1:$C$3</xm:f>
          </x14:formula1>
          <xm:sqref>F3:F63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F3EB3-A00B-EF4D-B43A-584C1877E972}">
  <sheetPr codeName="Feuil8"/>
  <dimension ref="C3:G81"/>
  <sheetViews>
    <sheetView workbookViewId="0">
      <selection sqref="A1:E31"/>
    </sheetView>
  </sheetViews>
  <sheetFormatPr defaultColWidth="11.42578125" defaultRowHeight="15"/>
  <cols>
    <col min="3" max="3" width="26.7109375" style="31" customWidth="1"/>
    <col min="7" max="7" width="34.140625" customWidth="1"/>
  </cols>
  <sheetData>
    <row r="3" spans="7:7" ht="29.1">
      <c r="G3" s="84"/>
    </row>
    <row r="71" spans="4:4">
      <c r="D71" s="32"/>
    </row>
    <row r="72" spans="4:4">
      <c r="D72" s="32"/>
    </row>
    <row r="73" spans="4:4">
      <c r="D73" s="32"/>
    </row>
    <row r="74" spans="4:4">
      <c r="D74" s="32"/>
    </row>
    <row r="75" spans="4:4">
      <c r="D75" s="32"/>
    </row>
    <row r="76" spans="4:4">
      <c r="D76" s="32"/>
    </row>
    <row r="77" spans="4:4">
      <c r="D77" s="32"/>
    </row>
    <row r="78" spans="4:4">
      <c r="D78" s="32"/>
    </row>
    <row r="79" spans="4:4">
      <c r="D79" s="32"/>
    </row>
    <row r="80" spans="4:4">
      <c r="D80" s="32"/>
    </row>
    <row r="81" spans="4:4">
      <c r="D81" s="3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5A250-95E8-466C-BB72-685A54414567}">
  <sheetPr codeName="Feuil7">
    <tabColor theme="0" tint="-0.499984740745262"/>
  </sheetPr>
  <dimension ref="A1:C3"/>
  <sheetViews>
    <sheetView workbookViewId="0">
      <selection activeCell="C5" sqref="C5"/>
    </sheetView>
  </sheetViews>
  <sheetFormatPr defaultColWidth="11.42578125" defaultRowHeight="15"/>
  <sheetData>
    <row r="1" spans="1:3">
      <c r="A1" t="s">
        <v>121</v>
      </c>
      <c r="B1" t="s">
        <v>119</v>
      </c>
      <c r="C1" t="s">
        <v>120</v>
      </c>
    </row>
    <row r="2" spans="1:3">
      <c r="A2" t="s">
        <v>118</v>
      </c>
      <c r="B2" t="s">
        <v>122</v>
      </c>
      <c r="C2" t="s">
        <v>123</v>
      </c>
    </row>
    <row r="3" spans="1:3">
      <c r="A3" s="3" t="s">
        <v>125</v>
      </c>
      <c r="C3" t="s">
        <v>117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Arlind Grainca</dc:creator>
  <cp:keywords/>
  <dc:description/>
  <cp:lastModifiedBy>Microsoft Office User</cp:lastModifiedBy>
  <cp:revision/>
  <dcterms:created xsi:type="dcterms:W3CDTF">2019-11-27T16:51:31Z</dcterms:created>
  <dcterms:modified xsi:type="dcterms:W3CDTF">2021-04-24T22:12:26Z</dcterms:modified>
  <cp:category/>
  <cp:contentStatus/>
</cp:coreProperties>
</file>